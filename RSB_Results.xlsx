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enys\Dropbox\Pen\UPE PPGES POLI\8 DISSERTACAO\SOFTWARE E RESULTADOS\RSB\"/>
    </mc:Choice>
  </mc:AlternateContent>
  <xr:revisionPtr revIDLastSave="0" documentId="13_ncr:1_{E499996B-89E6-45CB-B795-EB08311D2C89}" xr6:coauthVersionLast="47" xr6:coauthVersionMax="47" xr10:uidLastSave="{00000000-0000-0000-0000-000000000000}"/>
  <bookViews>
    <workbookView xWindow="-80" yWindow="1130" windowWidth="25770" windowHeight="14240" tabRatio="935" activeTab="1" xr2:uid="{00000000-000D-0000-FFFF-FFFF00000000}"/>
  </bookViews>
  <sheets>
    <sheet name="TEMPERATURA (14)" sheetId="1" r:id="rId1"/>
    <sheet name="101325 Pa (28)" sheetId="2" r:id="rId2"/>
    <sheet name="506625 Pa (22)" sheetId="3" r:id="rId3"/>
    <sheet name="1013250 Pa (21)" sheetId="4" r:id="rId4"/>
    <sheet name="1519875 Pa (21)" sheetId="5" r:id="rId5"/>
    <sheet name="101325 Pa EXP (49)" sheetId="6" r:id="rId6"/>
    <sheet name="101325 Pa EXP Para acopla (12)" sheetId="7" r:id="rId7"/>
    <sheet name="SETE ESCOLHIDOS" sheetId="9" r:id="rId8"/>
  </sheets>
  <definedNames>
    <definedName name="_xlnm.Print_Area" localSheetId="4">'1519875 Pa (21)'!$A$1:$AA$32</definedName>
    <definedName name="_xlnm.Print_Area" localSheetId="0">'TEMPERATURA (14)'!$A$1:$Q$38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2" i="7" l="1"/>
  <c r="G32" i="7"/>
  <c r="F32" i="7"/>
  <c r="E32" i="7"/>
  <c r="D32" i="7"/>
  <c r="C32" i="7"/>
  <c r="H31" i="7"/>
  <c r="G31" i="7"/>
  <c r="F31" i="7"/>
  <c r="E31" i="7"/>
  <c r="D31" i="7"/>
  <c r="C31" i="7"/>
  <c r="H18" i="7"/>
  <c r="G18" i="7"/>
  <c r="F18" i="7"/>
  <c r="E18" i="7"/>
  <c r="D18" i="7"/>
  <c r="C18" i="7"/>
  <c r="BC34" i="6"/>
  <c r="AZ34" i="6"/>
  <c r="AV34" i="6"/>
  <c r="AS34" i="6"/>
  <c r="AO34" i="6"/>
  <c r="AL34" i="6"/>
  <c r="AI34" i="6"/>
  <c r="AE34" i="6"/>
  <c r="AB34" i="6"/>
  <c r="X34" i="6"/>
  <c r="U34" i="6"/>
  <c r="Q34" i="6"/>
  <c r="N34" i="6"/>
  <c r="K34" i="6"/>
  <c r="G34" i="6"/>
  <c r="D34" i="6"/>
  <c r="BE32" i="6"/>
  <c r="BE34" i="6" s="1"/>
  <c r="BD32" i="6"/>
  <c r="BD34" i="6" s="1"/>
  <c r="BC32" i="6"/>
  <c r="BB32" i="6"/>
  <c r="BB34" i="6" s="1"/>
  <c r="BA32" i="6"/>
  <c r="BA34" i="6" s="1"/>
  <c r="AZ32" i="6"/>
  <c r="AY32" i="6"/>
  <c r="AY34" i="6" s="1"/>
  <c r="AW32" i="6"/>
  <c r="AW34" i="6" s="1"/>
  <c r="AV32" i="6"/>
  <c r="AU32" i="6"/>
  <c r="AU34" i="6" s="1"/>
  <c r="AT32" i="6"/>
  <c r="AT34" i="6" s="1"/>
  <c r="AS32" i="6"/>
  <c r="AR32" i="6"/>
  <c r="AR34" i="6" s="1"/>
  <c r="AQ32" i="6"/>
  <c r="AQ34" i="6" s="1"/>
  <c r="AO32" i="6"/>
  <c r="AN32" i="6"/>
  <c r="AN34" i="6" s="1"/>
  <c r="AM32" i="6"/>
  <c r="AM34" i="6" s="1"/>
  <c r="AL32" i="6"/>
  <c r="AK32" i="6"/>
  <c r="AK34" i="6" s="1"/>
  <c r="AJ32" i="6"/>
  <c r="AJ34" i="6" s="1"/>
  <c r="AI32" i="6"/>
  <c r="AG32" i="6"/>
  <c r="AG34" i="6" s="1"/>
  <c r="AF32" i="6"/>
  <c r="AF34" i="6" s="1"/>
  <c r="AE32" i="6"/>
  <c r="AD32" i="6"/>
  <c r="AD34" i="6" s="1"/>
  <c r="AC32" i="6"/>
  <c r="AC34" i="6" s="1"/>
  <c r="AB32" i="6"/>
  <c r="AA32" i="6"/>
  <c r="AA34" i="6" s="1"/>
  <c r="Y32" i="6"/>
  <c r="Y34" i="6" s="1"/>
  <c r="X32" i="6"/>
  <c r="W32" i="6"/>
  <c r="W34" i="6" s="1"/>
  <c r="V32" i="6"/>
  <c r="V34" i="6" s="1"/>
  <c r="U32" i="6"/>
  <c r="T32" i="6"/>
  <c r="T34" i="6" s="1"/>
  <c r="S32" i="6"/>
  <c r="S34" i="6" s="1"/>
  <c r="Q32" i="6"/>
  <c r="P32" i="6"/>
  <c r="P34" i="6" s="1"/>
  <c r="O32" i="6"/>
  <c r="O34" i="6" s="1"/>
  <c r="N32" i="6"/>
  <c r="M32" i="6"/>
  <c r="M34" i="6" s="1"/>
  <c r="L32" i="6"/>
  <c r="L34" i="6" s="1"/>
  <c r="K32" i="6"/>
  <c r="I32" i="6"/>
  <c r="I34" i="6" s="1"/>
  <c r="H32" i="6"/>
  <c r="H34" i="6" s="1"/>
  <c r="G32" i="6"/>
  <c r="F32" i="6"/>
  <c r="F34" i="6" s="1"/>
  <c r="E32" i="6"/>
  <c r="E34" i="6" s="1"/>
  <c r="D32" i="6"/>
  <c r="C32" i="6"/>
  <c r="C34" i="6" s="1"/>
  <c r="BE31" i="6"/>
  <c r="BD31" i="6"/>
  <c r="BC31" i="6"/>
  <c r="BB31" i="6"/>
  <c r="BA31" i="6"/>
  <c r="AZ31" i="6"/>
  <c r="AY31" i="6"/>
  <c r="AW31" i="6"/>
  <c r="AV31" i="6"/>
  <c r="AU31" i="6"/>
  <c r="AT31" i="6"/>
  <c r="AS31" i="6"/>
  <c r="AR31" i="6"/>
  <c r="AQ31" i="6"/>
  <c r="AO31" i="6"/>
  <c r="AN31" i="6"/>
  <c r="AM31" i="6"/>
  <c r="AL31" i="6"/>
  <c r="AK31" i="6"/>
  <c r="AJ31" i="6"/>
  <c r="AI31" i="6"/>
  <c r="AG31" i="6"/>
  <c r="AF31" i="6"/>
  <c r="AE31" i="6"/>
  <c r="AD31" i="6"/>
  <c r="AC31" i="6"/>
  <c r="AB31" i="6"/>
  <c r="AA31" i="6"/>
  <c r="Y31" i="6"/>
  <c r="X31" i="6"/>
  <c r="W31" i="6"/>
  <c r="V31" i="6"/>
  <c r="U31" i="6"/>
  <c r="T31" i="6"/>
  <c r="S31" i="6"/>
  <c r="Q31" i="6"/>
  <c r="P31" i="6"/>
  <c r="O31" i="6"/>
  <c r="N31" i="6"/>
  <c r="M31" i="6"/>
  <c r="L31" i="6"/>
  <c r="K31" i="6"/>
  <c r="I31" i="6"/>
  <c r="H31" i="6"/>
  <c r="G31" i="6"/>
  <c r="F31" i="6"/>
  <c r="E31" i="6"/>
  <c r="D31" i="6"/>
  <c r="C31" i="6"/>
  <c r="BE18" i="6"/>
  <c r="BD18" i="6"/>
  <c r="BC18" i="6"/>
  <c r="BB18" i="6"/>
  <c r="BA18" i="6"/>
  <c r="AZ18" i="6"/>
  <c r="AY18" i="6"/>
  <c r="AW18" i="6"/>
  <c r="AV18" i="6"/>
  <c r="AU18" i="6"/>
  <c r="AT18" i="6"/>
  <c r="AS18" i="6"/>
  <c r="AR18" i="6"/>
  <c r="AQ18" i="6"/>
  <c r="AO18" i="6"/>
  <c r="AN18" i="6"/>
  <c r="AM18" i="6"/>
  <c r="AL18" i="6"/>
  <c r="AK18" i="6"/>
  <c r="AJ18" i="6"/>
  <c r="AI18" i="6"/>
  <c r="AG18" i="6"/>
  <c r="AF18" i="6"/>
  <c r="AE18" i="6"/>
  <c r="AD18" i="6"/>
  <c r="AC18" i="6"/>
  <c r="AB18" i="6"/>
  <c r="AA18" i="6"/>
  <c r="Y18" i="6"/>
  <c r="X18" i="6"/>
  <c r="W18" i="6"/>
  <c r="V18" i="6"/>
  <c r="U18" i="6"/>
  <c r="T18" i="6"/>
  <c r="S18" i="6"/>
  <c r="Q18" i="6"/>
  <c r="P18" i="6"/>
  <c r="O18" i="6"/>
  <c r="N18" i="6"/>
  <c r="M18" i="6"/>
  <c r="L18" i="6"/>
  <c r="K18" i="6"/>
  <c r="I18" i="6"/>
  <c r="H18" i="6"/>
  <c r="G18" i="6"/>
  <c r="F18" i="6"/>
  <c r="E18" i="6"/>
  <c r="D18" i="6"/>
  <c r="C18" i="6"/>
  <c r="AB32" i="5"/>
  <c r="Z32" i="5"/>
  <c r="Y32" i="5"/>
  <c r="X32" i="5"/>
  <c r="W32" i="5"/>
  <c r="U32" i="5"/>
  <c r="T32" i="5"/>
  <c r="S32" i="5"/>
  <c r="R32" i="5"/>
  <c r="P32" i="5"/>
  <c r="O32" i="5"/>
  <c r="N32" i="5"/>
  <c r="M32" i="5"/>
  <c r="K32" i="5"/>
  <c r="J32" i="5"/>
  <c r="I32" i="5"/>
  <c r="H32" i="5"/>
  <c r="F32" i="5"/>
  <c r="E32" i="5"/>
  <c r="D32" i="5"/>
  <c r="C32" i="5"/>
  <c r="AB31" i="5"/>
  <c r="Z31" i="5"/>
  <c r="Y31" i="5"/>
  <c r="X31" i="5"/>
  <c r="W31" i="5"/>
  <c r="U31" i="5"/>
  <c r="T31" i="5"/>
  <c r="S31" i="5"/>
  <c r="R31" i="5"/>
  <c r="P31" i="5"/>
  <c r="O31" i="5"/>
  <c r="N31" i="5"/>
  <c r="M31" i="5"/>
  <c r="K31" i="5"/>
  <c r="J31" i="5"/>
  <c r="I31" i="5"/>
  <c r="H31" i="5"/>
  <c r="F31" i="5"/>
  <c r="E31" i="5"/>
  <c r="D31" i="5"/>
  <c r="C31" i="5"/>
  <c r="AB18" i="5"/>
  <c r="Z18" i="5"/>
  <c r="Y18" i="5"/>
  <c r="X18" i="5"/>
  <c r="W18" i="5"/>
  <c r="U18" i="5"/>
  <c r="T18" i="5"/>
  <c r="S18" i="5"/>
  <c r="R18" i="5"/>
  <c r="P18" i="5"/>
  <c r="O18" i="5"/>
  <c r="N18" i="5"/>
  <c r="M18" i="5"/>
  <c r="K18" i="5"/>
  <c r="J18" i="5"/>
  <c r="I18" i="5"/>
  <c r="H18" i="5"/>
  <c r="F18" i="5"/>
  <c r="E18" i="5"/>
  <c r="D18" i="5"/>
  <c r="C18" i="5"/>
  <c r="AB9" i="5"/>
  <c r="W9" i="5"/>
  <c r="R9" i="5"/>
  <c r="M9" i="5"/>
  <c r="H9" i="5"/>
  <c r="C9" i="5"/>
  <c r="AB8" i="5"/>
  <c r="W8" i="5"/>
  <c r="R8" i="5"/>
  <c r="M8" i="5"/>
  <c r="H8" i="5"/>
  <c r="C8" i="5"/>
  <c r="C3" i="5"/>
  <c r="AB32" i="4"/>
  <c r="Z32" i="4"/>
  <c r="Y32" i="4"/>
  <c r="X32" i="4"/>
  <c r="W32" i="4"/>
  <c r="U32" i="4"/>
  <c r="T32" i="4"/>
  <c r="S32" i="4"/>
  <c r="R32" i="4"/>
  <c r="P32" i="4"/>
  <c r="O32" i="4"/>
  <c r="N32" i="4"/>
  <c r="M32" i="4"/>
  <c r="K32" i="4"/>
  <c r="J32" i="4"/>
  <c r="I32" i="4"/>
  <c r="H32" i="4"/>
  <c r="F32" i="4"/>
  <c r="E32" i="4"/>
  <c r="D32" i="4"/>
  <c r="C32" i="4"/>
  <c r="AB31" i="4"/>
  <c r="Z31" i="4"/>
  <c r="Y31" i="4"/>
  <c r="X31" i="4"/>
  <c r="W31" i="4"/>
  <c r="U31" i="4"/>
  <c r="T31" i="4"/>
  <c r="S31" i="4"/>
  <c r="R31" i="4"/>
  <c r="P31" i="4"/>
  <c r="O31" i="4"/>
  <c r="N31" i="4"/>
  <c r="M31" i="4"/>
  <c r="K31" i="4"/>
  <c r="J31" i="4"/>
  <c r="I31" i="4"/>
  <c r="H31" i="4"/>
  <c r="F31" i="4"/>
  <c r="E31" i="4"/>
  <c r="D31" i="4"/>
  <c r="C31" i="4"/>
  <c r="AB18" i="4"/>
  <c r="Z18" i="4"/>
  <c r="Y18" i="4"/>
  <c r="X18" i="4"/>
  <c r="W18" i="4"/>
  <c r="U18" i="4"/>
  <c r="T18" i="4"/>
  <c r="S18" i="4"/>
  <c r="R18" i="4"/>
  <c r="P18" i="4"/>
  <c r="O18" i="4"/>
  <c r="N18" i="4"/>
  <c r="M18" i="4"/>
  <c r="K18" i="4"/>
  <c r="J18" i="4"/>
  <c r="I18" i="4"/>
  <c r="H18" i="4"/>
  <c r="F18" i="4"/>
  <c r="E18" i="4"/>
  <c r="D18" i="4"/>
  <c r="C18" i="4"/>
  <c r="AB9" i="4"/>
  <c r="W9" i="4"/>
  <c r="R9" i="4"/>
  <c r="M9" i="4"/>
  <c r="H9" i="4"/>
  <c r="C9" i="4"/>
  <c r="AB8" i="4"/>
  <c r="W8" i="4"/>
  <c r="R8" i="4"/>
  <c r="M8" i="4"/>
  <c r="H8" i="4"/>
  <c r="C8" i="4"/>
  <c r="AC32" i="3"/>
  <c r="AB32" i="3"/>
  <c r="Z32" i="3"/>
  <c r="Y32" i="3"/>
  <c r="X32" i="3"/>
  <c r="W32" i="3"/>
  <c r="U32" i="3"/>
  <c r="T32" i="3"/>
  <c r="S32" i="3"/>
  <c r="R32" i="3"/>
  <c r="P32" i="3"/>
  <c r="O32" i="3"/>
  <c r="N32" i="3"/>
  <c r="M32" i="3"/>
  <c r="K32" i="3"/>
  <c r="J32" i="3"/>
  <c r="I32" i="3"/>
  <c r="H32" i="3"/>
  <c r="F32" i="3"/>
  <c r="E32" i="3"/>
  <c r="D32" i="3"/>
  <c r="C32" i="3"/>
  <c r="AC31" i="3"/>
  <c r="AB31" i="3"/>
  <c r="Z31" i="3"/>
  <c r="Y31" i="3"/>
  <c r="X31" i="3"/>
  <c r="W31" i="3"/>
  <c r="U31" i="3"/>
  <c r="T31" i="3"/>
  <c r="S31" i="3"/>
  <c r="R31" i="3"/>
  <c r="P31" i="3"/>
  <c r="O31" i="3"/>
  <c r="N31" i="3"/>
  <c r="M31" i="3"/>
  <c r="K31" i="3"/>
  <c r="J31" i="3"/>
  <c r="I31" i="3"/>
  <c r="H31" i="3"/>
  <c r="F31" i="3"/>
  <c r="E31" i="3"/>
  <c r="D31" i="3"/>
  <c r="C31" i="3"/>
  <c r="AC18" i="3"/>
  <c r="AB18" i="3"/>
  <c r="Z18" i="3"/>
  <c r="Y18" i="3"/>
  <c r="X18" i="3"/>
  <c r="W18" i="3"/>
  <c r="U18" i="3"/>
  <c r="T18" i="3"/>
  <c r="S18" i="3"/>
  <c r="R18" i="3"/>
  <c r="P18" i="3"/>
  <c r="O18" i="3"/>
  <c r="N18" i="3"/>
  <c r="M18" i="3"/>
  <c r="K18" i="3"/>
  <c r="J18" i="3"/>
  <c r="I18" i="3"/>
  <c r="H18" i="3"/>
  <c r="F18" i="3"/>
  <c r="E18" i="3"/>
  <c r="D18" i="3"/>
  <c r="C18" i="3"/>
  <c r="AB9" i="3"/>
  <c r="W9" i="3"/>
  <c r="R9" i="3"/>
  <c r="M9" i="3"/>
  <c r="H9" i="3"/>
  <c r="C9" i="3"/>
  <c r="AB8" i="3"/>
  <c r="W8" i="3"/>
  <c r="R8" i="3"/>
  <c r="M8" i="3"/>
  <c r="H8" i="3"/>
  <c r="C8" i="3"/>
  <c r="AJ32" i="2"/>
  <c r="AI32" i="2"/>
  <c r="AH32" i="2"/>
  <c r="AG32" i="2"/>
  <c r="AD32" i="2"/>
  <c r="AC32" i="2"/>
  <c r="AB32" i="2"/>
  <c r="Z32" i="2"/>
  <c r="Y32" i="2"/>
  <c r="X32" i="2"/>
  <c r="W32" i="2"/>
  <c r="U32" i="2"/>
  <c r="T32" i="2"/>
  <c r="S32" i="2"/>
  <c r="R32" i="2"/>
  <c r="P32" i="2"/>
  <c r="O32" i="2"/>
  <c r="N32" i="2"/>
  <c r="M32" i="2"/>
  <c r="K32" i="2"/>
  <c r="J32" i="2"/>
  <c r="I32" i="2"/>
  <c r="H32" i="2"/>
  <c r="F32" i="2"/>
  <c r="E32" i="2"/>
  <c r="D32" i="2"/>
  <c r="C32" i="2"/>
  <c r="AJ31" i="2"/>
  <c r="AI31" i="2"/>
  <c r="AH31" i="2"/>
  <c r="AG31" i="2"/>
  <c r="AE31" i="2"/>
  <c r="AD31" i="2"/>
  <c r="AC31" i="2"/>
  <c r="AB31" i="2"/>
  <c r="Z31" i="2"/>
  <c r="Y31" i="2"/>
  <c r="X31" i="2"/>
  <c r="W31" i="2"/>
  <c r="U31" i="2"/>
  <c r="T31" i="2"/>
  <c r="S31" i="2"/>
  <c r="R31" i="2"/>
  <c r="P31" i="2"/>
  <c r="O31" i="2"/>
  <c r="N31" i="2"/>
  <c r="M31" i="2"/>
  <c r="K31" i="2"/>
  <c r="J31" i="2"/>
  <c r="I31" i="2"/>
  <c r="H31" i="2"/>
  <c r="F31" i="2"/>
  <c r="E31" i="2"/>
  <c r="D31" i="2"/>
  <c r="C31" i="2"/>
  <c r="AJ18" i="2"/>
  <c r="AI18" i="2"/>
  <c r="AH18" i="2"/>
  <c r="AG18" i="2"/>
  <c r="AE18" i="2"/>
  <c r="AD18" i="2"/>
  <c r="AC18" i="2"/>
  <c r="AB18" i="2"/>
  <c r="Z18" i="2"/>
  <c r="Y18" i="2"/>
  <c r="X18" i="2"/>
  <c r="W18" i="2"/>
  <c r="U18" i="2"/>
  <c r="T18" i="2"/>
  <c r="S18" i="2"/>
  <c r="R18" i="2"/>
  <c r="P18" i="2"/>
  <c r="O18" i="2"/>
  <c r="N18" i="2"/>
  <c r="M18" i="2"/>
  <c r="K18" i="2"/>
  <c r="J18" i="2"/>
  <c r="I18" i="2"/>
  <c r="H18" i="2"/>
  <c r="F18" i="2"/>
  <c r="E18" i="2"/>
  <c r="D18" i="2"/>
  <c r="C18" i="2"/>
  <c r="AB9" i="2"/>
  <c r="AB8" i="2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C38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C37" i="1"/>
  <c r="P20" i="1"/>
  <c r="O20" i="1"/>
  <c r="N20" i="1"/>
  <c r="M20" i="1"/>
  <c r="L20" i="1"/>
  <c r="K20" i="1"/>
  <c r="J20" i="1"/>
  <c r="I20" i="1"/>
  <c r="H20" i="1"/>
  <c r="G20" i="1"/>
  <c r="F2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</calcChain>
</file>

<file path=xl/sharedStrings.xml><?xml version="1.0" encoding="utf-8"?>
<sst xmlns="http://schemas.openxmlformats.org/spreadsheetml/2006/main" count="661" uniqueCount="125">
  <si>
    <t>basis: MOLAR FLOW</t>
  </si>
  <si>
    <t>Wcat_total (kg)=</t>
  </si>
  <si>
    <t>Temperatura (K) =</t>
  </si>
  <si>
    <t>673 K</t>
  </si>
  <si>
    <t>723 K</t>
  </si>
  <si>
    <t>773 K</t>
  </si>
  <si>
    <t>823 K</t>
  </si>
  <si>
    <t>873 K</t>
  </si>
  <si>
    <t>923 K</t>
  </si>
  <si>
    <t>973 K</t>
  </si>
  <si>
    <t>1023 K</t>
  </si>
  <si>
    <t>1073 K</t>
  </si>
  <si>
    <t>1123 K</t>
  </si>
  <si>
    <t>1173 K</t>
  </si>
  <si>
    <t>1223 K</t>
  </si>
  <si>
    <t>1273 K</t>
  </si>
  <si>
    <t>1323 K</t>
  </si>
  <si>
    <t>Pressão (Pa) =</t>
  </si>
  <si>
    <t>BIOGAS Flow (mol/s) IN =</t>
  </si>
  <si>
    <t>Molar Flow (mol/s) OUT =</t>
  </si>
  <si>
    <t>CH4/CO2 =</t>
  </si>
  <si>
    <t>CH4 (fração molar) =</t>
  </si>
  <si>
    <t>CO2 (fração molar) =</t>
  </si>
  <si>
    <t>mol/s</t>
  </si>
  <si>
    <t>Temp(K)</t>
  </si>
  <si>
    <t>CH4 ( mol/s )</t>
  </si>
  <si>
    <t>P</t>
  </si>
  <si>
    <t>CO2 ( mol/s)</t>
  </si>
  <si>
    <t>R</t>
  </si>
  <si>
    <t>CO (mol/s)</t>
  </si>
  <si>
    <t>O</t>
  </si>
  <si>
    <t>H2O ( mol/s)</t>
  </si>
  <si>
    <t>D</t>
  </si>
  <si>
    <t>C ( mol/s)</t>
  </si>
  <si>
    <t>H2 (mol/s)</t>
  </si>
  <si>
    <t>Reaction Coordinate  DRM</t>
  </si>
  <si>
    <t xml:space="preserve">CH₄ + CO₂ ⇌ 2CO + 2H₂ </t>
  </si>
  <si>
    <t>Reaction Coordinate RWGS</t>
  </si>
  <si>
    <t>F</t>
  </si>
  <si>
    <t xml:space="preserve">CO₂ + H₂ ⇌ CO + H₂O </t>
  </si>
  <si>
    <t>Reaction Coordinate DM</t>
  </si>
  <si>
    <t>-</t>
  </si>
  <si>
    <t xml:space="preserve">CH₄ ⇌ C(s) + 2H₂ </t>
  </si>
  <si>
    <t>Convertion CH4 (%)</t>
  </si>
  <si>
    <t>Convertion CO2 (%)</t>
  </si>
  <si>
    <t>Selec ( C )</t>
  </si>
  <si>
    <t>H2 / CO</t>
  </si>
  <si>
    <t>Temperatura ( K ) =</t>
  </si>
  <si>
    <t>873K</t>
  </si>
  <si>
    <t>Pressão ( Pa ) =</t>
  </si>
  <si>
    <t>E</t>
  </si>
  <si>
    <t>“BIOGAS” Flow (mol/s) =</t>
  </si>
  <si>
    <t>Basis: MOLAR FRACTION</t>
  </si>
  <si>
    <t>IN</t>
  </si>
  <si>
    <t>Basis: MOLAR FLOW</t>
  </si>
  <si>
    <t>OUT</t>
  </si>
  <si>
    <t>OUT Molar Flow (mol/s) =</t>
  </si>
  <si>
    <t>Reaction Coordinate  DRM (mol/s)</t>
  </si>
  <si>
    <t>Reaction Coordinate RWGS (mol/s)</t>
  </si>
  <si>
    <t>Reaction Coordinate DM (mol/s)</t>
  </si>
  <si>
    <t>Seletividade a Carbono</t>
  </si>
  <si>
    <t>998 K</t>
  </si>
  <si>
    <t>1048 K</t>
  </si>
  <si>
    <t>1098 K</t>
  </si>
  <si>
    <t>2) 1,80 &lt;= H2/CO &lt;= 2,00  -----&gt;</t>
  </si>
  <si>
    <t>R6</t>
  </si>
  <si>
    <t>CRITÉRIOS PARA A ESCOLHA DOS 6 CANDIDATOS PARA ACOPLAMENTO COM SFT</t>
  </si>
  <si>
    <t>1) Composições intermediárias (próximas a 0,5:0,5) CH4 (fração molar): 0,5; 0,525; 0,55; 0,575; 0,60</t>
  </si>
  <si>
    <t>2) 1,80 &lt;= H2/CO &lt;= 2,00</t>
  </si>
  <si>
    <t>R1</t>
  </si>
  <si>
    <t>R2</t>
  </si>
  <si>
    <t>R3</t>
  </si>
  <si>
    <t>R4</t>
  </si>
  <si>
    <t>R5</t>
  </si>
  <si>
    <t>H2/CO</t>
  </si>
  <si>
    <t>Origem dos dados: aba '101325 Pa EXP (49)' de RSB_Results.xlsx.</t>
  </si>
  <si>
    <t>R2: CH4=0,50 e 1,80&lt;=H2/CO&lt;=2,00; escolher o mais próximo de 1,90.</t>
  </si>
  <si>
    <t>R3: CH4=0,525; escolher o mais próximo de 1,90.</t>
  </si>
  <si>
    <t>R4: CH4=0,55; escolher o mais próximo de 1,90.</t>
  </si>
  <si>
    <t>R6: CH4=0,60; escolher o mais próximo de 1,90.</t>
  </si>
  <si>
    <t>Caso</t>
  </si>
  <si>
    <t>Regra aplicada</t>
  </si>
  <si>
    <t>Coluna origem</t>
  </si>
  <si>
    <t>T (K)</t>
  </si>
  <si>
    <t>P (Pa)</t>
  </si>
  <si>
    <t>Biogás (mol/s)</t>
  </si>
  <si>
    <t>CH4</t>
  </si>
  <si>
    <t>CO2</t>
  </si>
  <si>
    <t>Alvo</t>
  </si>
  <si>
    <t>|H2/CO - alvo|</t>
  </si>
  <si>
    <t>H2O (mol/s)</t>
  </si>
  <si>
    <t>C (mol/s)</t>
  </si>
  <si>
    <t>Conv. CH4 (%)</t>
  </si>
  <si>
    <t>Conv. CO2 (%)</t>
  </si>
  <si>
    <t>Selec(C)</t>
  </si>
  <si>
    <t>DRM (mol/s)</t>
  </si>
  <si>
    <t>RWGS (mol/s)</t>
  </si>
  <si>
    <t>DM (mol/s)</t>
  </si>
  <si>
    <t>OUT total (mol/s)</t>
  </si>
  <si>
    <t>CH4=0,50; H2/CO&gt;2,00; menor |H2/CO-2,00|</t>
  </si>
  <si>
    <t>C</t>
  </si>
  <si>
    <t>CH4=0,50; 1,80&lt;=H2/CO&lt;=2,00; menor |H2/CO-1,90|</t>
  </si>
  <si>
    <t>K</t>
  </si>
  <si>
    <t>CH4=0,525; menor |H2/CO-1,90|</t>
  </si>
  <si>
    <t>T</t>
  </si>
  <si>
    <t>CH4=0,55; menor |H2/CO-1,90|</t>
  </si>
  <si>
    <t>AC</t>
  </si>
  <si>
    <t>CH4=0,575; H2/CO&gt;=1,80; menor |H2/CO-1,80|</t>
  </si>
  <si>
    <t>AT</t>
  </si>
  <si>
    <t>CH4=0,60; menor |H2/CO-1,90|</t>
  </si>
  <si>
    <t>BC</t>
  </si>
  <si>
    <t>SETE ESCOLHIDOS PARA ACOPLAMENTO RSB–SFT</t>
  </si>
  <si>
    <t>Filtro inicial (R1–R6): somente composições intermediárias CH4 = 0,50; 0,525; 0,55; 0,575; 0,60.</t>
  </si>
  <si>
    <t>Faixa-alvo de acoplamento (R1–R6): limite inferior = 1,80; centro = 1,90; limite superior = 2,00.</t>
  </si>
  <si>
    <t>R1: CH4=0,50 e H2/CO&gt;2,00; escolher o mais próximo de 2,00 (âncora superior da faixa de acoplamento).</t>
  </si>
  <si>
    <t>R5: CH4=0,575 e H2/CO&gt;=1,80; escolher o mais próximo de 1,80 (âncora inferior da faixa de acoplamento).</t>
  </si>
  <si>
    <t>R7: todo o universo CH4=0,50..0,60; escolher o mais próximo de 2,10 (âncora do pico ótimo da SFT).</t>
  </si>
  <si>
    <t>Justificativa do R7: a análise da SFT identificou H2/CO ≈ 2,10 como o pico de produção de gasolina</t>
  </si>
  <si>
    <t>sintética C5–C11. R7 representa a corrente da RSB mais aderente a esse pico, complementando</t>
  </si>
  <si>
    <t>R1 (H2/CO &gt; 2,00) e cobrindo a faixa acima de 2,10. R1 e R7 são as correntes mais promissoras</t>
  </si>
  <si>
    <t>para o acoplamento, conforme demonstrado na análise integrada RSB–SFT (Capítulo 4).</t>
  </si>
  <si>
    <t>R7</t>
  </si>
  <si>
    <t>CH4=0,50..0,60; menor |H2/CO-2,10|  (pico ótimo SFT)</t>
  </si>
  <si>
    <t>AM</t>
  </si>
  <si>
    <t>Observação: R1..R6 cobrem sistematicamente a faixa de acoplamento [1,80; 2,00], incluindo âncora superior (R1), casos centrais (R2, R3, R4, R6) e âncora inferior (R5). R7 (destacado em amarelo) é adicionado como âncora do pico ótimo da SFT (H2/CO≈2,10), representando a corrente da RSB mais favorável à produção de gasolina sintética C5–C11.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</si>
</sst>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00000"/>
    <numFmt numFmtId="165" formatCode="0.0000000"/>
    <numFmt numFmtId="166" formatCode="0.00000000"/>
    <numFmt numFmtId="167" formatCode="0.000000000"/>
    <numFmt numFmtId="168" formatCode="0.00000"/>
    <numFmt numFmtId="169" formatCode="0.000000000000"/>
  </numFmts>
  <fonts count="31">
    <font>
      <sz val="10"/>
      <name val="Arial"/>
      <family val="2"/>
    </font>
    <font>
      <b/>
      <sz val="10"/>
      <name val="Arial"/>
      <family val="2"/>
    </font>
    <font>
      <b/>
      <sz val="10"/>
      <color theme="10"/>
      <name val="Arial"/>
      <family val="2"/>
    </font>
    <font>
      <b/>
      <sz val="10"/>
      <color rgb="FF0000EE"/>
      <name val="Arial"/>
      <family val="2"/>
    </font>
    <font>
      <b/>
      <sz val="10"/>
      <color rgb="FF0000FF"/>
      <name val="Arial"/>
      <family val="2"/>
    </font>
    <font>
      <sz val="10"/>
      <color rgb="FF000000"/>
      <name val="Arial"/>
      <family val="2"/>
    </font>
    <font>
      <sz val="10"/>
      <name val="Times New Roman"/>
      <family val="1"/>
    </font>
    <font>
      <sz val="10"/>
      <color rgb="FF000000"/>
      <name val="Times New Roman"/>
      <family val="1"/>
    </font>
    <font>
      <sz val="10"/>
      <color rgb="FFFF0000"/>
      <name val="Times New Roman"/>
      <family val="1"/>
    </font>
    <font>
      <sz val="10"/>
      <color rgb="FFFF0000"/>
      <name val="Arial"/>
      <family val="2"/>
    </font>
    <font>
      <sz val="7"/>
      <color rgb="FF303030"/>
      <name val="Google Sans Text"/>
    </font>
    <font>
      <b/>
      <sz val="7"/>
      <color rgb="FF303030"/>
      <name val="Google Sans Text"/>
    </font>
    <font>
      <b/>
      <sz val="8"/>
      <color rgb="FF303030"/>
      <name val="Google Sans Text"/>
    </font>
    <font>
      <sz val="10"/>
      <name val="Arial"/>
      <family val="2"/>
      <scheme val="minor"/>
    </font>
    <font>
      <b/>
      <sz val="10"/>
      <color theme="10"/>
      <name val="Arial"/>
      <family val="2"/>
      <scheme val="minor"/>
    </font>
    <font>
      <sz val="10"/>
      <color theme="1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2"/>
      <name val="Arial"/>
      <family val="2"/>
    </font>
    <font>
      <sz val="18"/>
      <color rgb="FFFF0000"/>
      <name val="Arial"/>
      <family val="2"/>
    </font>
    <font>
      <sz val="10"/>
      <color theme="8" tint="-0.499984740745262"/>
      <name val="Arial"/>
      <family val="2"/>
    </font>
    <font>
      <b/>
      <sz val="18"/>
      <color rgb="FFFF0000"/>
      <name val="Arial"/>
      <family val="2"/>
    </font>
    <font>
      <b/>
      <sz val="10"/>
      <color theme="8" tint="-0.499984740745262"/>
      <name val="Arial"/>
      <family val="2"/>
    </font>
    <font>
      <strike/>
      <sz val="10"/>
      <name val="Arial"/>
      <family val="2"/>
    </font>
    <font>
      <b/>
      <sz val="12"/>
      <color theme="7"/>
      <name val="Arial"/>
      <family val="2"/>
    </font>
    <font>
      <b/>
      <sz val="10"/>
      <color theme="7"/>
      <name val="Arial"/>
      <family val="2"/>
    </font>
    <font>
      <b/>
      <sz val="12"/>
      <color theme="9" tint="0.39997558519241921"/>
      <name val="Arial"/>
      <family val="2"/>
    </font>
    <font>
      <b/>
      <sz val="10"/>
      <color theme="9" tint="0.39997558519241921"/>
      <name val="Arial"/>
      <family val="2"/>
    </font>
    <font>
      <sz val="11"/>
      <color rgb="FF131314"/>
      <name val="Roboto"/>
    </font>
    <font>
      <b/>
      <sz val="11"/>
      <color rgb="FF131314"/>
      <name val="Roboto"/>
    </font>
    <font>
      <b/>
      <sz val="10"/>
      <color rgb="FFFFFFFF"/>
      <name val="Arial"/>
      <family val="2"/>
    </font>
    <font>
      <b/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vertical="center"/>
    </xf>
    <xf numFmtId="0" fontId="6" fillId="0" borderId="0" xfId="0" applyFont="1" applyAlignment="1">
      <alignment vertical="center" wrapText="1"/>
    </xf>
    <xf numFmtId="0" fontId="0" fillId="0" borderId="2" xfId="0" applyBorder="1"/>
    <xf numFmtId="0" fontId="0" fillId="0" borderId="3" xfId="0" applyBorder="1"/>
    <xf numFmtId="0" fontId="6" fillId="0" borderId="0" xfId="0" applyFont="1"/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center"/>
    </xf>
    <xf numFmtId="0" fontId="0" fillId="0" borderId="1" xfId="0" applyBorder="1"/>
    <xf numFmtId="0" fontId="1" fillId="0" borderId="3" xfId="0" applyFont="1" applyBorder="1" applyAlignment="1">
      <alignment horizontal="center"/>
    </xf>
    <xf numFmtId="0" fontId="0" fillId="0" borderId="0" xfId="0" applyAlignment="1">
      <alignment horizontal="right" vertical="center"/>
    </xf>
    <xf numFmtId="2" fontId="6" fillId="0" borderId="0" xfId="0" applyNumberFormat="1" applyFont="1" applyAlignment="1">
      <alignment wrapText="1"/>
    </xf>
    <xf numFmtId="2" fontId="0" fillId="0" borderId="0" xfId="0" applyNumberFormat="1"/>
    <xf numFmtId="11" fontId="7" fillId="0" borderId="0" xfId="0" applyNumberFormat="1" applyFont="1" applyAlignment="1">
      <alignment wrapText="1"/>
    </xf>
    <xf numFmtId="0" fontId="7" fillId="0" borderId="0" xfId="0" applyFont="1" applyAlignment="1">
      <alignment wrapText="1"/>
    </xf>
    <xf numFmtId="0" fontId="8" fillId="0" borderId="0" xfId="0" applyFont="1" applyAlignment="1">
      <alignment wrapText="1"/>
    </xf>
    <xf numFmtId="11" fontId="8" fillId="0" borderId="0" xfId="0" applyNumberFormat="1" applyFont="1" applyAlignment="1">
      <alignment wrapText="1"/>
    </xf>
    <xf numFmtId="0" fontId="9" fillId="0" borderId="0" xfId="0" applyFont="1"/>
    <xf numFmtId="0" fontId="5" fillId="0" borderId="0" xfId="0" applyFont="1" applyAlignment="1">
      <alignment horizontal="center"/>
    </xf>
    <xf numFmtId="0" fontId="5" fillId="0" borderId="0" xfId="0" applyFont="1"/>
    <xf numFmtId="0" fontId="11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10" fillId="0" borderId="0" xfId="0" applyFont="1" applyAlignment="1">
      <alignment horizontal="left" vertical="center" indent="1"/>
    </xf>
    <xf numFmtId="0" fontId="12" fillId="0" borderId="0" xfId="0" applyFont="1"/>
    <xf numFmtId="0" fontId="0" fillId="2" borderId="0" xfId="0" applyFill="1"/>
    <xf numFmtId="0" fontId="2" fillId="2" borderId="0" xfId="0" applyFont="1" applyFill="1" applyAlignment="1">
      <alignment horizontal="center"/>
    </xf>
    <xf numFmtId="0" fontId="0" fillId="3" borderId="0" xfId="0" applyFill="1"/>
    <xf numFmtId="11" fontId="0" fillId="0" borderId="0" xfId="0" applyNumberFormat="1" applyAlignment="1">
      <alignment vertical="center" wrapText="1"/>
    </xf>
    <xf numFmtId="0" fontId="2" fillId="0" borderId="0" xfId="0" applyFont="1" applyAlignment="1">
      <alignment horizontal="center"/>
    </xf>
    <xf numFmtId="0" fontId="0" fillId="2" borderId="0" xfId="0" applyFill="1" applyAlignment="1">
      <alignment horizontal="right"/>
    </xf>
    <xf numFmtId="0" fontId="0" fillId="2" borderId="2" xfId="0" applyFill="1" applyBorder="1" applyAlignment="1">
      <alignment horizontal="center"/>
    </xf>
    <xf numFmtId="0" fontId="13" fillId="0" borderId="0" xfId="0" applyFont="1"/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3" fillId="0" borderId="0" xfId="0" applyFont="1" applyAlignment="1">
      <alignment vertical="center" wrapText="1"/>
    </xf>
    <xf numFmtId="0" fontId="13" fillId="0" borderId="0" xfId="0" applyFont="1" applyAlignment="1">
      <alignment wrapText="1"/>
    </xf>
    <xf numFmtId="2" fontId="13" fillId="0" borderId="0" xfId="0" applyNumberFormat="1" applyFont="1"/>
    <xf numFmtId="2" fontId="13" fillId="0" borderId="0" xfId="0" applyNumberFormat="1" applyFont="1" applyAlignment="1">
      <alignment wrapText="1"/>
    </xf>
    <xf numFmtId="0" fontId="0" fillId="0" borderId="0" xfId="0" applyAlignment="1">
      <alignment vertical="center" wrapText="1"/>
    </xf>
    <xf numFmtId="11" fontId="6" fillId="0" borderId="0" xfId="0" applyNumberFormat="1" applyFont="1" applyAlignment="1">
      <alignment wrapText="1"/>
    </xf>
    <xf numFmtId="0" fontId="6" fillId="0" borderId="0" xfId="0" applyFont="1" applyAlignment="1">
      <alignment wrapText="1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right"/>
    </xf>
    <xf numFmtId="0" fontId="18" fillId="0" borderId="0" xfId="0" applyFont="1"/>
    <xf numFmtId="0" fontId="20" fillId="0" borderId="0" xfId="0" applyFont="1"/>
    <xf numFmtId="0" fontId="22" fillId="0" borderId="0" xfId="0" applyFont="1"/>
    <xf numFmtId="0" fontId="19" fillId="0" borderId="0" xfId="0" applyFont="1"/>
    <xf numFmtId="0" fontId="21" fillId="0" borderId="0" xfId="0" applyFont="1"/>
    <xf numFmtId="0" fontId="23" fillId="0" borderId="0" xfId="0" applyFont="1" applyAlignment="1">
      <alignment horizontal="left"/>
    </xf>
    <xf numFmtId="0" fontId="24" fillId="0" borderId="0" xfId="0" applyFont="1"/>
    <xf numFmtId="0" fontId="25" fillId="0" borderId="0" xfId="0" applyFont="1" applyAlignment="1">
      <alignment horizontal="left"/>
    </xf>
    <xf numFmtId="0" fontId="26" fillId="0" borderId="0" xfId="0" applyFont="1"/>
    <xf numFmtId="164" fontId="14" fillId="0" borderId="0" xfId="0" applyNumberFormat="1" applyFont="1" applyAlignment="1">
      <alignment horizontal="center"/>
    </xf>
    <xf numFmtId="164" fontId="15" fillId="0" borderId="0" xfId="0" applyNumberFormat="1" applyFont="1" applyAlignment="1">
      <alignment wrapText="1"/>
    </xf>
    <xf numFmtId="164" fontId="13" fillId="0" borderId="0" xfId="0" applyNumberFormat="1" applyFont="1"/>
    <xf numFmtId="164" fontId="13" fillId="0" borderId="0" xfId="0" applyNumberFormat="1" applyFont="1" applyAlignment="1">
      <alignment wrapText="1"/>
    </xf>
    <xf numFmtId="164" fontId="16" fillId="0" borderId="0" xfId="0" applyNumberFormat="1" applyFont="1" applyAlignment="1">
      <alignment wrapText="1"/>
    </xf>
    <xf numFmtId="164" fontId="13" fillId="0" borderId="0" xfId="0" applyNumberFormat="1" applyFont="1" applyAlignment="1">
      <alignment vertical="center" wrapText="1"/>
    </xf>
    <xf numFmtId="164" fontId="13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wrapText="1"/>
    </xf>
    <xf numFmtId="164" fontId="7" fillId="0" borderId="0" xfId="0" applyNumberFormat="1" applyFont="1" applyAlignment="1">
      <alignment wrapText="1"/>
    </xf>
    <xf numFmtId="164" fontId="0" fillId="0" borderId="0" xfId="0" applyNumberFormat="1"/>
    <xf numFmtId="164" fontId="6" fillId="0" borderId="0" xfId="0" applyNumberFormat="1" applyFont="1" applyAlignment="1">
      <alignment vertical="center" wrapText="1"/>
    </xf>
    <xf numFmtId="164" fontId="5" fillId="0" borderId="0" xfId="0" applyNumberFormat="1" applyFont="1"/>
    <xf numFmtId="164" fontId="8" fillId="0" borderId="0" xfId="0" applyNumberFormat="1" applyFont="1" applyAlignment="1">
      <alignment wrapText="1"/>
    </xf>
    <xf numFmtId="164" fontId="7" fillId="0" borderId="0" xfId="0" applyNumberFormat="1" applyFont="1" applyAlignment="1">
      <alignment vertical="center" wrapText="1"/>
    </xf>
    <xf numFmtId="164" fontId="0" fillId="0" borderId="0" xfId="0" applyNumberFormat="1" applyAlignment="1">
      <alignment horizontal="center"/>
    </xf>
    <xf numFmtId="164" fontId="5" fillId="0" borderId="0" xfId="0" applyNumberFormat="1" applyFont="1" applyAlignment="1">
      <alignment horizontal="center"/>
    </xf>
    <xf numFmtId="164" fontId="9" fillId="0" borderId="0" xfId="0" applyNumberFormat="1" applyFont="1"/>
    <xf numFmtId="164" fontId="2" fillId="0" borderId="0" xfId="0" applyNumberFormat="1" applyFont="1" applyAlignment="1">
      <alignment horizontal="center"/>
    </xf>
    <xf numFmtId="164" fontId="6" fillId="4" borderId="0" xfId="0" applyNumberFormat="1" applyFont="1" applyFill="1" applyAlignment="1">
      <alignment wrapText="1"/>
    </xf>
    <xf numFmtId="164" fontId="0" fillId="4" borderId="0" xfId="0" applyNumberFormat="1" applyFill="1"/>
    <xf numFmtId="0" fontId="9" fillId="0" borderId="0" xfId="0" applyFont="1" applyAlignment="1">
      <alignment horizontal="right"/>
    </xf>
    <xf numFmtId="0" fontId="27" fillId="0" borderId="0" xfId="0" applyFont="1" applyAlignment="1">
      <alignment horizontal="left" vertical="center" wrapText="1"/>
    </xf>
    <xf numFmtId="0" fontId="27" fillId="0" borderId="0" xfId="0" applyFont="1" applyAlignment="1">
      <alignment horizontal="left" vertical="center" wrapText="1" indent="1"/>
    </xf>
    <xf numFmtId="0" fontId="28" fillId="0" borderId="0" xfId="0" applyFont="1" applyAlignment="1">
      <alignment horizontal="left" vertical="center" wrapText="1" indent="1"/>
    </xf>
    <xf numFmtId="0" fontId="0" fillId="0" borderId="0" xfId="0"/>
    <xf numFmtId="165" fontId="13" fillId="0" borderId="0" xfId="0" applyNumberFormat="1" applyFont="1" applyAlignment="1">
      <alignment vertical="center" wrapText="1"/>
    </xf>
    <xf numFmtId="166" fontId="13" fillId="0" borderId="0" xfId="0" applyNumberFormat="1" applyFont="1" applyAlignment="1">
      <alignment vertical="center" wrapText="1"/>
    </xf>
    <xf numFmtId="166" fontId="13" fillId="0" borderId="0" xfId="0" applyNumberFormat="1" applyFont="1" applyAlignment="1">
      <alignment wrapText="1"/>
    </xf>
    <xf numFmtId="166" fontId="13" fillId="0" borderId="0" xfId="0" applyNumberFormat="1" applyFont="1"/>
    <xf numFmtId="167" fontId="13" fillId="0" borderId="0" xfId="0" applyNumberFormat="1" applyFont="1"/>
    <xf numFmtId="165" fontId="13" fillId="0" borderId="0" xfId="0" applyNumberFormat="1" applyFont="1"/>
    <xf numFmtId="168" fontId="0" fillId="0" borderId="0" xfId="0" applyNumberFormat="1"/>
    <xf numFmtId="168" fontId="0" fillId="2" borderId="0" xfId="0" applyNumberFormat="1" applyFill="1"/>
    <xf numFmtId="166" fontId="0" fillId="0" borderId="0" xfId="0" applyNumberFormat="1" applyAlignment="1">
      <alignment vertical="center" wrapText="1"/>
    </xf>
    <xf numFmtId="169" fontId="0" fillId="0" borderId="0" xfId="0" applyNumberFormat="1" applyAlignment="1">
      <alignment vertical="center" wrapText="1"/>
    </xf>
    <xf numFmtId="168" fontId="17" fillId="0" borderId="0" xfId="0" applyNumberFormat="1" applyFont="1"/>
    <xf numFmtId="169" fontId="13" fillId="0" borderId="0" xfId="0" applyNumberFormat="1" applyFont="1" applyAlignment="1">
      <alignment vertical="center" wrapText="1"/>
    </xf>
    <xf numFmtId="169" fontId="0" fillId="0" borderId="0" xfId="0" applyNumberFormat="1" applyAlignment="1">
      <alignment horizontal="center"/>
    </xf>
    <xf numFmtId="169" fontId="0" fillId="0" borderId="0" xfId="0" applyNumberFormat="1"/>
    <xf numFmtId="169" fontId="6" fillId="0" borderId="0" xfId="0" applyNumberFormat="1" applyFont="1" applyAlignment="1">
      <alignment wrapText="1"/>
    </xf>
    <xf numFmtId="0" fontId="30" fillId="7" borderId="4" xfId="0" applyFont="1" applyFill="1" applyBorder="1" applyAlignment="1">
      <alignment horizontal="center" wrapText="1"/>
    </xf>
    <xf numFmtId="0" fontId="0" fillId="0" borderId="4" xfId="0" applyBorder="1"/>
    <xf numFmtId="1" fontId="0" fillId="0" borderId="4" xfId="0" applyNumberFormat="1" applyBorder="1"/>
    <xf numFmtId="168" fontId="0" fillId="0" borderId="4" xfId="0" applyNumberFormat="1" applyBorder="1"/>
    <xf numFmtId="0" fontId="0" fillId="8" borderId="4" xfId="0" applyFill="1" applyBorder="1"/>
    <xf numFmtId="1" fontId="0" fillId="8" borderId="4" xfId="0" applyNumberFormat="1" applyFill="1" applyBorder="1"/>
    <xf numFmtId="168" fontId="0" fillId="8" borderId="4" xfId="0" applyNumberFormat="1" applyFill="1" applyBorder="1"/>
    <xf numFmtId="0" fontId="29" fillId="5" borderId="0" xfId="0" applyFont="1" applyFill="1" applyAlignment="1">
      <alignment horizontal="center"/>
    </xf>
    <xf numFmtId="0" fontId="0" fillId="0" borderId="0" xfId="0"/>
    <xf numFmtId="0" fontId="0" fillId="0" borderId="0" xfId="0" applyAlignment="1">
      <alignment wrapText="1"/>
    </xf>
    <xf numFmtId="0" fontId="30" fillId="6" borderId="0" xfId="0" applyFont="1" applyFill="1" applyAlignment="1">
      <alignment wrapText="1"/>
    </xf>
    <xf numFmtId="0" fontId="0" fillId="6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EE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A52A2A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73"/>
  <sheetViews>
    <sheetView zoomScale="83" zoomScaleNormal="83" workbookViewId="0">
      <selection activeCell="S11" sqref="S11"/>
    </sheetView>
  </sheetViews>
  <sheetFormatPr defaultColWidth="11.54296875" defaultRowHeight="12.5"/>
  <cols>
    <col min="1" max="1" width="9" style="85" customWidth="1"/>
    <col min="2" max="2" width="24.453125" style="85" customWidth="1"/>
    <col min="3" max="6" width="15.54296875" style="85" customWidth="1"/>
    <col min="7" max="7" width="14.81640625" style="85" customWidth="1"/>
    <col min="8" max="8" width="13.453125" style="85" customWidth="1"/>
    <col min="9" max="9" width="14.1796875" style="85" customWidth="1"/>
    <col min="10" max="10" width="15.54296875" style="85" customWidth="1"/>
    <col min="11" max="11" width="15.1796875" style="85" customWidth="1"/>
    <col min="12" max="12" width="13.81640625" style="85" customWidth="1"/>
    <col min="13" max="13" width="15.26953125" style="85" customWidth="1"/>
    <col min="14" max="14" width="14.7265625" style="85" customWidth="1"/>
    <col min="15" max="17" width="15.7265625" style="85" customWidth="1"/>
  </cols>
  <sheetData>
    <row r="1" spans="1:26" ht="13">
      <c r="B1" s="1" t="s">
        <v>0</v>
      </c>
    </row>
    <row r="2" spans="1:26">
      <c r="B2" t="s">
        <v>1</v>
      </c>
    </row>
    <row r="3" spans="1:26" ht="13">
      <c r="B3" t="s">
        <v>2</v>
      </c>
      <c r="C3" s="35" t="s">
        <v>3</v>
      </c>
      <c r="D3" s="35" t="s">
        <v>4</v>
      </c>
      <c r="E3" s="35" t="s">
        <v>5</v>
      </c>
      <c r="F3" s="35" t="s">
        <v>6</v>
      </c>
      <c r="G3" s="35" t="s">
        <v>7</v>
      </c>
      <c r="H3" s="35" t="s">
        <v>8</v>
      </c>
      <c r="I3" s="35" t="s">
        <v>9</v>
      </c>
      <c r="J3" s="35" t="s">
        <v>10</v>
      </c>
      <c r="K3" s="35" t="s">
        <v>11</v>
      </c>
      <c r="L3" s="2" t="s">
        <v>12</v>
      </c>
      <c r="M3" s="2" t="s">
        <v>13</v>
      </c>
      <c r="N3" s="2" t="s">
        <v>14</v>
      </c>
      <c r="O3" s="3" t="s">
        <v>15</v>
      </c>
      <c r="P3" s="3" t="s">
        <v>16</v>
      </c>
      <c r="Q3" s="49"/>
      <c r="T3" s="49"/>
      <c r="U3" s="49"/>
      <c r="V3" s="49"/>
      <c r="X3" s="49"/>
      <c r="Y3" s="49"/>
      <c r="Z3" s="49"/>
    </row>
    <row r="4" spans="1:26" ht="13">
      <c r="B4" t="s">
        <v>17</v>
      </c>
      <c r="C4">
        <v>101325</v>
      </c>
      <c r="D4">
        <v>101325</v>
      </c>
      <c r="E4">
        <v>101325</v>
      </c>
      <c r="F4">
        <v>101325</v>
      </c>
      <c r="G4">
        <v>101325</v>
      </c>
      <c r="H4">
        <v>101325</v>
      </c>
      <c r="I4">
        <v>101325</v>
      </c>
      <c r="J4">
        <v>101325</v>
      </c>
      <c r="K4">
        <v>101325</v>
      </c>
      <c r="L4">
        <v>101325</v>
      </c>
      <c r="M4">
        <v>101325</v>
      </c>
      <c r="N4">
        <v>101325</v>
      </c>
      <c r="O4">
        <v>101325</v>
      </c>
      <c r="P4">
        <v>101325</v>
      </c>
      <c r="T4" s="4"/>
      <c r="U4" s="4"/>
      <c r="V4" s="4"/>
      <c r="X4" s="4"/>
      <c r="Y4" s="4"/>
      <c r="Z4" s="4"/>
    </row>
    <row r="5" spans="1:26">
      <c r="B5" t="s">
        <v>18</v>
      </c>
      <c r="C5">
        <v>0.01</v>
      </c>
      <c r="D5">
        <v>0.01</v>
      </c>
      <c r="E5">
        <v>0.01</v>
      </c>
      <c r="F5">
        <v>0.01</v>
      </c>
      <c r="G5">
        <v>0.01</v>
      </c>
      <c r="H5">
        <v>0.01</v>
      </c>
      <c r="I5">
        <v>0.01</v>
      </c>
      <c r="J5">
        <v>0.01</v>
      </c>
      <c r="K5">
        <v>0.01</v>
      </c>
      <c r="L5">
        <v>0.01</v>
      </c>
      <c r="M5">
        <v>0.01</v>
      </c>
      <c r="N5">
        <v>0.01</v>
      </c>
      <c r="O5">
        <v>0.01</v>
      </c>
      <c r="P5">
        <v>0.01</v>
      </c>
    </row>
    <row r="6" spans="1:26">
      <c r="B6" t="s">
        <v>19</v>
      </c>
    </row>
    <row r="7" spans="1:26" ht="9" customHeight="1"/>
    <row r="8" spans="1:26" ht="15.75" customHeight="1">
      <c r="B8" t="s">
        <v>20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T8" s="26"/>
      <c r="U8" s="26"/>
      <c r="V8" s="26"/>
      <c r="X8" s="26"/>
      <c r="Y8" s="26"/>
      <c r="Z8" s="26"/>
    </row>
    <row r="9" spans="1:26" ht="15.75" customHeight="1">
      <c r="B9" t="s">
        <v>21</v>
      </c>
      <c r="C9">
        <f t="shared" ref="C9:P9" si="0">C8/(1+C8)</f>
        <v>0.5</v>
      </c>
      <c r="D9">
        <f t="shared" si="0"/>
        <v>0.5</v>
      </c>
      <c r="E9">
        <f t="shared" si="0"/>
        <v>0.5</v>
      </c>
      <c r="F9">
        <f t="shared" si="0"/>
        <v>0.5</v>
      </c>
      <c r="G9">
        <f t="shared" si="0"/>
        <v>0.5</v>
      </c>
      <c r="H9">
        <f t="shared" si="0"/>
        <v>0.5</v>
      </c>
      <c r="I9">
        <f t="shared" si="0"/>
        <v>0.5</v>
      </c>
      <c r="J9">
        <f t="shared" si="0"/>
        <v>0.5</v>
      </c>
      <c r="K9">
        <f t="shared" si="0"/>
        <v>0.5</v>
      </c>
      <c r="L9">
        <f t="shared" si="0"/>
        <v>0.5</v>
      </c>
      <c r="M9">
        <f t="shared" si="0"/>
        <v>0.5</v>
      </c>
      <c r="N9">
        <f t="shared" si="0"/>
        <v>0.5</v>
      </c>
      <c r="O9">
        <f t="shared" si="0"/>
        <v>0.5</v>
      </c>
      <c r="P9">
        <f t="shared" si="0"/>
        <v>0.5</v>
      </c>
    </row>
    <row r="10" spans="1:26" ht="15.75" customHeight="1">
      <c r="B10" t="s">
        <v>22</v>
      </c>
      <c r="C10">
        <f t="shared" ref="C10:P10" si="1">1/(1+C8)</f>
        <v>0.5</v>
      </c>
      <c r="D10">
        <f t="shared" si="1"/>
        <v>0.5</v>
      </c>
      <c r="E10">
        <f t="shared" si="1"/>
        <v>0.5</v>
      </c>
      <c r="F10">
        <f t="shared" si="1"/>
        <v>0.5</v>
      </c>
      <c r="G10">
        <f t="shared" si="1"/>
        <v>0.5</v>
      </c>
      <c r="H10">
        <f t="shared" si="1"/>
        <v>0.5</v>
      </c>
      <c r="I10">
        <f t="shared" si="1"/>
        <v>0.5</v>
      </c>
      <c r="J10">
        <f t="shared" si="1"/>
        <v>0.5</v>
      </c>
      <c r="K10">
        <f t="shared" si="1"/>
        <v>0.5</v>
      </c>
      <c r="L10">
        <f t="shared" si="1"/>
        <v>0.5</v>
      </c>
      <c r="M10">
        <f t="shared" si="1"/>
        <v>0.5</v>
      </c>
      <c r="N10">
        <f t="shared" si="1"/>
        <v>0.5</v>
      </c>
      <c r="O10">
        <f t="shared" si="1"/>
        <v>0.5</v>
      </c>
      <c r="P10">
        <f t="shared" si="1"/>
        <v>0.5</v>
      </c>
    </row>
    <row r="11" spans="1:26" ht="7.5" customHeight="1">
      <c r="J11" s="47"/>
      <c r="K11" s="47"/>
    </row>
    <row r="12" spans="1:26" ht="13">
      <c r="C12" s="49" t="s">
        <v>23</v>
      </c>
      <c r="D12" s="49" t="s">
        <v>23</v>
      </c>
      <c r="E12" s="49" t="s">
        <v>23</v>
      </c>
      <c r="F12" s="49" t="s">
        <v>23</v>
      </c>
      <c r="G12" s="49" t="s">
        <v>23</v>
      </c>
      <c r="H12" s="49" t="s">
        <v>23</v>
      </c>
      <c r="I12" s="49" t="s">
        <v>23</v>
      </c>
      <c r="J12" s="49" t="s">
        <v>23</v>
      </c>
      <c r="K12" s="49"/>
      <c r="L12" s="46"/>
      <c r="M12" s="49"/>
      <c r="N12" s="49"/>
      <c r="P12" s="49"/>
      <c r="Q12" s="49"/>
      <c r="T12" s="49"/>
      <c r="U12" s="49"/>
      <c r="V12" s="49"/>
      <c r="X12" s="49"/>
      <c r="Y12" s="49"/>
      <c r="Z12" s="49"/>
    </row>
    <row r="13" spans="1:26" ht="13">
      <c r="A13" t="s">
        <v>24</v>
      </c>
      <c r="C13" s="35" t="s">
        <v>3</v>
      </c>
      <c r="D13" s="35" t="s">
        <v>4</v>
      </c>
      <c r="E13" s="35" t="s">
        <v>5</v>
      </c>
      <c r="F13" s="35" t="s">
        <v>6</v>
      </c>
      <c r="G13" s="35" t="s">
        <v>7</v>
      </c>
      <c r="H13" s="35" t="s">
        <v>8</v>
      </c>
      <c r="I13" s="35" t="s">
        <v>9</v>
      </c>
      <c r="J13" s="35" t="s">
        <v>10</v>
      </c>
      <c r="K13" s="35" t="s">
        <v>11</v>
      </c>
      <c r="L13" s="2" t="s">
        <v>12</v>
      </c>
      <c r="M13" s="2" t="s">
        <v>13</v>
      </c>
      <c r="N13" s="2" t="s">
        <v>14</v>
      </c>
      <c r="O13" s="3" t="s">
        <v>15</v>
      </c>
      <c r="P13" s="3" t="s">
        <v>16</v>
      </c>
      <c r="Q13" s="49"/>
      <c r="T13" s="49"/>
      <c r="U13" s="49"/>
      <c r="V13" s="49"/>
      <c r="X13" s="49"/>
      <c r="Y13" s="49"/>
      <c r="Z13" s="49"/>
    </row>
    <row r="14" spans="1:26" ht="15.75" customHeight="1">
      <c r="A14" s="5"/>
      <c r="B14" s="48" t="s">
        <v>25</v>
      </c>
      <c r="C14" s="47">
        <v>4.497727E-3</v>
      </c>
      <c r="D14" s="47">
        <v>3.7325574000000002E-3</v>
      </c>
      <c r="E14" s="47">
        <v>2.3944194000000002E-3</v>
      </c>
      <c r="F14" s="47">
        <v>1.146343E-3</v>
      </c>
      <c r="G14" s="47">
        <v>5.3949483999999996E-4</v>
      </c>
      <c r="H14" s="47">
        <v>2.4817174000000002E-4</v>
      </c>
      <c r="I14" s="47">
        <v>1.1262527000000001E-4</v>
      </c>
      <c r="J14" s="46">
        <v>5.2354132000000002E-5</v>
      </c>
      <c r="K14" s="46">
        <v>2.4882441999999999E-5</v>
      </c>
      <c r="L14" s="46">
        <v>1.1525835E-5</v>
      </c>
      <c r="M14" s="46">
        <v>5.2968460999999998E-6</v>
      </c>
      <c r="N14" s="46">
        <v>2.7443622E-6</v>
      </c>
      <c r="O14" s="46">
        <v>1.7351375999999999E-6</v>
      </c>
      <c r="P14" s="46">
        <v>1.1525835E-5</v>
      </c>
      <c r="Q14" s="46"/>
      <c r="T14" s="47"/>
      <c r="U14" s="47"/>
      <c r="V14" s="46"/>
      <c r="X14" s="46"/>
      <c r="Y14" s="46"/>
      <c r="Z14" s="46"/>
    </row>
    <row r="15" spans="1:26" ht="15.75" customHeight="1">
      <c r="A15" s="6" t="s">
        <v>26</v>
      </c>
      <c r="B15" s="48" t="s">
        <v>27</v>
      </c>
      <c r="C15" s="47">
        <v>4.5770313000000002E-3</v>
      </c>
      <c r="D15" s="47">
        <v>4.0958098E-3</v>
      </c>
      <c r="E15" s="47">
        <v>3.4005918E-3</v>
      </c>
      <c r="F15" s="47">
        <v>2.8513869999999999E-3</v>
      </c>
      <c r="G15" s="47">
        <v>2.5630221999999999E-3</v>
      </c>
      <c r="H15" s="47">
        <v>2.2905447000000001E-3</v>
      </c>
      <c r="I15" s="47">
        <v>1.9789724E-3</v>
      </c>
      <c r="J15" s="47">
        <v>1.6368935999999999E-3</v>
      </c>
      <c r="K15" s="47">
        <v>1.2903596E-3</v>
      </c>
      <c r="L15" s="47">
        <v>1.0024413000000001E-3</v>
      </c>
      <c r="M15" s="47">
        <v>8.2189659000000005E-4</v>
      </c>
      <c r="N15" s="47">
        <v>7.2713279E-4</v>
      </c>
      <c r="O15" s="47">
        <v>6.7503922999999995E-4</v>
      </c>
      <c r="P15" s="47">
        <v>1.0024413000000001E-3</v>
      </c>
      <c r="Q15" s="46"/>
      <c r="T15" s="47"/>
      <c r="U15" s="47"/>
      <c r="V15" s="46"/>
      <c r="X15" s="46"/>
      <c r="Y15" s="46"/>
      <c r="Z15" s="46"/>
    </row>
    <row r="16" spans="1:26" ht="13">
      <c r="A16" s="6" t="s">
        <v>28</v>
      </c>
      <c r="B16" s="48" t="s">
        <v>29</v>
      </c>
      <c r="C16" s="47">
        <v>2.6056596E-4</v>
      </c>
      <c r="D16" s="47">
        <v>4.5078856000000002E-4</v>
      </c>
      <c r="E16" s="47">
        <v>6.9773785E-4</v>
      </c>
      <c r="F16" s="47">
        <v>1.0594112E-3</v>
      </c>
      <c r="G16" s="47">
        <v>1.6960356E-3</v>
      </c>
      <c r="H16" s="47">
        <v>2.5567163999999998E-3</v>
      </c>
      <c r="I16" s="47">
        <v>3.5466593999999999E-3</v>
      </c>
      <c r="J16" s="47">
        <v>4.6102540999999999E-3</v>
      </c>
      <c r="K16" s="47">
        <v>5.6728463999999998E-3</v>
      </c>
      <c r="L16" s="47">
        <v>6.5270826000000002E-3</v>
      </c>
      <c r="M16" s="47">
        <v>7.0107896999999997E-3</v>
      </c>
      <c r="N16" s="47">
        <v>7.1936190000000001E-3</v>
      </c>
      <c r="O16" s="47">
        <v>7.2221391999999999E-3</v>
      </c>
      <c r="P16" s="47">
        <v>6.5270826000000002E-3</v>
      </c>
      <c r="Q16" s="46"/>
      <c r="T16" s="47"/>
      <c r="U16" s="47"/>
      <c r="V16" s="46"/>
      <c r="X16" s="46"/>
      <c r="Y16" s="46"/>
      <c r="Z16" s="46"/>
    </row>
    <row r="17" spans="1:26" ht="15.75" customHeight="1">
      <c r="A17" s="6" t="s">
        <v>30</v>
      </c>
      <c r="B17" s="48" t="s">
        <v>31</v>
      </c>
      <c r="C17" s="47">
        <v>5.8537157E-4</v>
      </c>
      <c r="D17" s="47">
        <v>1.3575919999999999E-3</v>
      </c>
      <c r="E17" s="47">
        <v>2.5010787000000001E-3</v>
      </c>
      <c r="F17" s="47">
        <v>3.2378149999999998E-3</v>
      </c>
      <c r="G17" s="47">
        <v>3.1779203E-3</v>
      </c>
      <c r="H17" s="47">
        <v>2.8621942999999999E-3</v>
      </c>
      <c r="I17" s="47">
        <v>2.4953959E-3</v>
      </c>
      <c r="J17" s="47">
        <v>2.1159589000000001E-3</v>
      </c>
      <c r="K17" s="47">
        <v>1.7464346E-3</v>
      </c>
      <c r="L17" s="47">
        <v>1.4680349000000001E-3</v>
      </c>
      <c r="M17" s="47">
        <v>1.3454172999999999E-3</v>
      </c>
      <c r="N17" s="47">
        <v>1.3521156000000001E-3</v>
      </c>
      <c r="O17" s="47">
        <v>1.4277826E-3</v>
      </c>
      <c r="P17" s="47">
        <v>1.4680349000000001E-3</v>
      </c>
      <c r="Q17" s="46"/>
      <c r="T17" s="47"/>
      <c r="U17" s="47"/>
      <c r="V17" s="46"/>
      <c r="X17" s="46"/>
      <c r="Y17" s="46"/>
      <c r="Z17" s="46"/>
    </row>
    <row r="18" spans="1:26" ht="13">
      <c r="A18" s="6" t="s">
        <v>32</v>
      </c>
      <c r="B18" s="48" t="s">
        <v>33</v>
      </c>
      <c r="C18" s="47">
        <v>6.6467592999999996E-4</v>
      </c>
      <c r="D18" s="47">
        <v>1.7208443999999999E-3</v>
      </c>
      <c r="E18" s="47">
        <v>3.5072510999999999E-3</v>
      </c>
      <c r="F18" s="47">
        <v>4.942859E-3</v>
      </c>
      <c r="G18" s="47">
        <v>5.2014475999999999E-3</v>
      </c>
      <c r="H18" s="47">
        <v>4.9045673E-3</v>
      </c>
      <c r="I18" s="47">
        <v>4.3617431E-3</v>
      </c>
      <c r="J18" s="47">
        <v>3.7004984000000001E-3</v>
      </c>
      <c r="K18" s="47">
        <v>3.0119117000000002E-3</v>
      </c>
      <c r="L18" s="47">
        <v>2.4589503999999998E-3</v>
      </c>
      <c r="M18" s="47">
        <v>2.1620171000000001E-3</v>
      </c>
      <c r="N18" s="47">
        <v>2.0765040999999999E-3</v>
      </c>
      <c r="O18" s="47">
        <v>2.1010867000000001E-3</v>
      </c>
      <c r="P18" s="47">
        <v>2.4589503999999998E-3</v>
      </c>
      <c r="Q18" s="46"/>
      <c r="T18" s="47"/>
      <c r="U18" s="47"/>
      <c r="V18" s="46"/>
      <c r="X18" s="46"/>
      <c r="Y18" s="46"/>
      <c r="Z18" s="46"/>
    </row>
    <row r="19" spans="1:26" ht="15.75" customHeight="1">
      <c r="A19" s="7"/>
      <c r="B19" s="48" t="s">
        <v>34</v>
      </c>
      <c r="C19" s="47">
        <v>4.1917468999999998E-4</v>
      </c>
      <c r="D19" s="47">
        <v>1.1772932999999999E-3</v>
      </c>
      <c r="E19" s="47">
        <v>2.7100827000000002E-3</v>
      </c>
      <c r="F19" s="47">
        <v>4.4694992999999997E-3</v>
      </c>
      <c r="G19" s="47">
        <v>5.7430902999999998E-3</v>
      </c>
      <c r="H19" s="47">
        <v>6.6414624E-3</v>
      </c>
      <c r="I19" s="47">
        <v>7.2793537000000004E-3</v>
      </c>
      <c r="J19" s="47">
        <v>7.7793330000000003E-3</v>
      </c>
      <c r="K19" s="47">
        <v>8.2038007999999992E-3</v>
      </c>
      <c r="L19" s="47">
        <v>8.5089135999999992E-3</v>
      </c>
      <c r="M19" s="47">
        <v>8.6439892000000004E-3</v>
      </c>
      <c r="N19" s="47">
        <v>8.6423957999999992E-3</v>
      </c>
      <c r="O19" s="47">
        <v>8.5687474E-3</v>
      </c>
      <c r="P19" s="47">
        <v>8.5089135999999992E-3</v>
      </c>
      <c r="Q19" s="47"/>
      <c r="T19" s="47"/>
      <c r="U19" s="47"/>
      <c r="V19" s="47"/>
      <c r="X19" s="47"/>
      <c r="Y19" s="47"/>
      <c r="Z19" s="47"/>
    </row>
    <row r="20" spans="1:26" ht="10.4" customHeight="1">
      <c r="B20" s="8" t="s">
        <v>19</v>
      </c>
      <c r="F20" s="9">
        <f t="shared" ref="F20:P20" si="2">SUM(F14:F19)</f>
        <v>1.7707314499999998E-2</v>
      </c>
      <c r="G20" s="9">
        <f t="shared" si="2"/>
        <v>1.8921010839999999E-2</v>
      </c>
      <c r="H20" s="9">
        <f t="shared" si="2"/>
        <v>1.9503656839999998E-2</v>
      </c>
      <c r="I20" s="9">
        <f t="shared" si="2"/>
        <v>1.9774749769999999E-2</v>
      </c>
      <c r="J20" s="9">
        <f t="shared" si="2"/>
        <v>1.9895292132E-2</v>
      </c>
      <c r="K20" s="9">
        <f t="shared" si="2"/>
        <v>1.9950235541999997E-2</v>
      </c>
      <c r="L20" s="9">
        <f t="shared" si="2"/>
        <v>1.9976948634999998E-2</v>
      </c>
      <c r="M20" s="9">
        <f t="shared" si="2"/>
        <v>1.9989406736100002E-2</v>
      </c>
      <c r="N20" s="9">
        <f t="shared" si="2"/>
        <v>1.9994511652199998E-2</v>
      </c>
      <c r="O20" s="9">
        <f t="shared" si="2"/>
        <v>1.99965302676E-2</v>
      </c>
      <c r="P20" s="9">
        <f t="shared" si="2"/>
        <v>1.9976948634999998E-2</v>
      </c>
      <c r="Q20" s="47"/>
      <c r="T20" s="47"/>
      <c r="U20" s="47"/>
      <c r="V20" s="47"/>
      <c r="X20" s="47"/>
      <c r="Y20" s="47"/>
      <c r="Z20" s="47"/>
    </row>
    <row r="21" spans="1:26" ht="10.4" customHeight="1">
      <c r="B21" s="8"/>
      <c r="F21" s="9"/>
      <c r="G21" s="9"/>
      <c r="H21" s="9"/>
      <c r="I21" s="9"/>
      <c r="J21" s="9"/>
      <c r="K21" s="47"/>
      <c r="L21" s="47"/>
      <c r="M21" s="47"/>
      <c r="P21" s="47"/>
      <c r="Q21" s="47"/>
      <c r="T21" s="47"/>
      <c r="U21" s="47"/>
      <c r="V21" s="47"/>
      <c r="X21" s="47"/>
      <c r="Y21" s="47"/>
      <c r="Z21" s="47"/>
    </row>
    <row r="22" spans="1:26" ht="13">
      <c r="C22" s="49" t="s">
        <v>23</v>
      </c>
      <c r="D22" s="49" t="s">
        <v>23</v>
      </c>
      <c r="E22" s="49" t="s">
        <v>23</v>
      </c>
      <c r="F22" s="49" t="s">
        <v>23</v>
      </c>
      <c r="G22" s="49" t="s">
        <v>23</v>
      </c>
      <c r="H22" s="49" t="s">
        <v>23</v>
      </c>
      <c r="I22" s="49" t="s">
        <v>23</v>
      </c>
      <c r="J22" s="49" t="s">
        <v>23</v>
      </c>
      <c r="K22" s="47"/>
      <c r="L22" s="49"/>
      <c r="M22" s="47"/>
      <c r="P22" s="47"/>
      <c r="Q22" s="46"/>
      <c r="T22" s="47"/>
      <c r="U22" s="47"/>
      <c r="V22" s="47"/>
      <c r="X22" s="47"/>
      <c r="Y22" s="47"/>
      <c r="Z22" s="47"/>
    </row>
    <row r="23" spans="1:26" ht="13">
      <c r="A23" s="5" t="s">
        <v>26</v>
      </c>
      <c r="B23" t="s">
        <v>35</v>
      </c>
      <c r="C23" s="46">
        <v>1.6297300000000001E-7</v>
      </c>
      <c r="D23" s="46">
        <v>3.95515E-7</v>
      </c>
      <c r="E23" s="46">
        <v>8.0645400000000003E-7</v>
      </c>
      <c r="F23" s="46">
        <v>1.31762E-6</v>
      </c>
      <c r="G23" s="46">
        <v>1.7838500000000001E-6</v>
      </c>
      <c r="H23" s="46">
        <v>2.1495899999999999E-6</v>
      </c>
      <c r="I23" s="46">
        <v>2.3560500000000001E-6</v>
      </c>
      <c r="J23" s="46">
        <v>2.4403799999999998E-6</v>
      </c>
      <c r="K23" s="46">
        <v>2.4745600000000002E-6</v>
      </c>
      <c r="L23" s="46">
        <v>2.4899500000000002E-6</v>
      </c>
      <c r="M23" s="46">
        <v>2.49671E-6</v>
      </c>
      <c r="N23" s="46">
        <v>2.4998600000000002E-6</v>
      </c>
      <c r="O23" s="46">
        <v>2.5003099999999999E-6</v>
      </c>
      <c r="P23" s="46">
        <v>2.4899500000000002E-6</v>
      </c>
      <c r="Q23" s="46"/>
      <c r="T23" s="47"/>
      <c r="U23" s="47"/>
      <c r="V23" s="47"/>
      <c r="X23" s="47"/>
      <c r="Y23" s="47"/>
      <c r="Z23" s="47"/>
    </row>
    <row r="24" spans="1:26" ht="13">
      <c r="A24" s="6"/>
      <c r="B24" s="47" t="s">
        <v>36</v>
      </c>
      <c r="C24" s="46"/>
      <c r="J24" s="47"/>
      <c r="K24" s="46"/>
      <c r="P24" s="46"/>
      <c r="Q24" s="46"/>
      <c r="T24" s="47"/>
      <c r="U24" s="47"/>
      <c r="V24" s="47"/>
      <c r="X24" s="47"/>
      <c r="Y24" s="47"/>
      <c r="Z24" s="47"/>
    </row>
    <row r="25" spans="1:26" ht="13">
      <c r="A25" s="6" t="s">
        <v>28</v>
      </c>
      <c r="C25" s="46"/>
      <c r="G25" s="49"/>
      <c r="H25" s="49"/>
      <c r="I25" s="49"/>
      <c r="J25" s="47"/>
      <c r="K25" s="46"/>
      <c r="P25" s="46"/>
    </row>
    <row r="26" spans="1:26" ht="13">
      <c r="A26" s="6"/>
      <c r="B26" t="s">
        <v>37</v>
      </c>
      <c r="C26" s="46">
        <v>4.2296900000000001E-7</v>
      </c>
      <c r="D26" s="46">
        <v>9.0419E-7</v>
      </c>
      <c r="E26" s="46">
        <v>1.5994099999999999E-6</v>
      </c>
      <c r="F26" s="46">
        <v>2.1486099999999999E-6</v>
      </c>
      <c r="G26" s="46">
        <v>2.43698E-6</v>
      </c>
      <c r="H26" s="46">
        <v>2.7094599999999998E-6</v>
      </c>
      <c r="I26" s="46">
        <v>3.0210299999999999E-6</v>
      </c>
      <c r="J26" s="46">
        <v>3.3631099999999999E-6</v>
      </c>
      <c r="K26" s="46">
        <v>3.7096399999999999E-6</v>
      </c>
      <c r="L26" s="46">
        <v>3.9975600000000002E-6</v>
      </c>
      <c r="M26" s="46">
        <v>4.1780999999999999E-6</v>
      </c>
      <c r="N26" s="46">
        <v>4.2728699999999998E-6</v>
      </c>
      <c r="O26" s="46">
        <v>4.3249599999999998E-6</v>
      </c>
      <c r="P26" s="46">
        <v>3.9975600000000002E-6</v>
      </c>
    </row>
    <row r="27" spans="1:26" ht="13">
      <c r="A27" s="6" t="s">
        <v>38</v>
      </c>
      <c r="B27" s="47" t="s">
        <v>39</v>
      </c>
    </row>
    <row r="28" spans="1:26">
      <c r="A28" s="6"/>
    </row>
    <row r="29" spans="1:26" ht="13">
      <c r="A29" s="6"/>
      <c r="B29" t="s">
        <v>40</v>
      </c>
      <c r="C29" s="46">
        <v>3.3929999999999997E-7</v>
      </c>
      <c r="D29" s="46">
        <v>8.71928E-7</v>
      </c>
      <c r="E29" s="46">
        <v>1.79913E-6</v>
      </c>
      <c r="F29" s="46">
        <v>2.5360299999999999E-6</v>
      </c>
      <c r="G29" s="46">
        <v>2.67665E-6</v>
      </c>
      <c r="H29" s="46">
        <v>2.6022400000000001E-6</v>
      </c>
      <c r="I29" s="46">
        <v>2.5313199999999999E-6</v>
      </c>
      <c r="J29" s="46">
        <v>2.5072700000000001E-6</v>
      </c>
      <c r="K29" s="46">
        <v>2.50056E-6</v>
      </c>
      <c r="L29" s="46">
        <v>2.49852E-6</v>
      </c>
      <c r="M29" s="46">
        <v>2.4979900000000002E-6</v>
      </c>
      <c r="N29" s="46">
        <v>2.4973900000000002E-6</v>
      </c>
      <c r="O29" s="46">
        <v>2.4979599999999998E-6</v>
      </c>
      <c r="P29" s="46">
        <v>2.49852E-6</v>
      </c>
    </row>
    <row r="30" spans="1:26" ht="13">
      <c r="A30" s="6" t="s">
        <v>41</v>
      </c>
      <c r="B30" s="47" t="s">
        <v>42</v>
      </c>
    </row>
    <row r="31" spans="1:26">
      <c r="A31" s="10"/>
    </row>
    <row r="32" spans="1:26" ht="13">
      <c r="A32" s="6">
        <v>1</v>
      </c>
      <c r="C32" s="35" t="s">
        <v>3</v>
      </c>
      <c r="D32" s="35" t="s">
        <v>4</v>
      </c>
      <c r="E32" s="35" t="s">
        <v>5</v>
      </c>
      <c r="F32" s="35" t="s">
        <v>6</v>
      </c>
      <c r="G32" s="35" t="s">
        <v>7</v>
      </c>
      <c r="H32" s="35" t="s">
        <v>8</v>
      </c>
      <c r="I32" s="35" t="s">
        <v>9</v>
      </c>
      <c r="J32" s="35" t="s">
        <v>10</v>
      </c>
      <c r="K32" s="35" t="s">
        <v>11</v>
      </c>
      <c r="L32" s="2" t="s">
        <v>12</v>
      </c>
      <c r="M32" s="2" t="s">
        <v>13</v>
      </c>
      <c r="N32" s="2" t="s">
        <v>14</v>
      </c>
      <c r="O32" s="3" t="s">
        <v>15</v>
      </c>
      <c r="P32" s="3" t="s">
        <v>16</v>
      </c>
    </row>
    <row r="33" spans="1:16" ht="15.75" customHeight="1">
      <c r="A33" s="6"/>
      <c r="B33" s="48" t="s">
        <v>43</v>
      </c>
      <c r="C33" s="47">
        <v>10.045500000000001</v>
      </c>
      <c r="D33" s="47">
        <v>25.3489</v>
      </c>
      <c r="E33" s="47">
        <v>52.111600000000003</v>
      </c>
      <c r="F33" s="47">
        <v>77.073099999999997</v>
      </c>
      <c r="G33" s="47">
        <v>89.210099999999997</v>
      </c>
      <c r="H33" s="47">
        <v>95.036600000000007</v>
      </c>
      <c r="I33" s="47">
        <v>97.747500000000002</v>
      </c>
      <c r="J33" s="47">
        <v>98.9529</v>
      </c>
      <c r="K33" s="47">
        <v>99.502399999999994</v>
      </c>
      <c r="L33" s="47">
        <v>99.769499999999994</v>
      </c>
      <c r="M33" s="47">
        <v>99.894099999999995</v>
      </c>
      <c r="N33" s="47">
        <v>99.945099999999996</v>
      </c>
      <c r="O33" s="47">
        <v>99.965299999999999</v>
      </c>
      <c r="P33" s="47">
        <v>99.769499999999994</v>
      </c>
    </row>
    <row r="34" spans="1:16" ht="15.75" customHeight="1">
      <c r="A34" s="11"/>
      <c r="B34" s="48" t="s">
        <v>44</v>
      </c>
      <c r="C34" s="47">
        <v>8.4593699999999998</v>
      </c>
      <c r="D34" s="47">
        <v>18.0838</v>
      </c>
      <c r="E34" s="47">
        <v>31.988199999999999</v>
      </c>
      <c r="F34" s="47">
        <v>42.972299999999997</v>
      </c>
      <c r="G34" s="47">
        <v>48.739600000000003</v>
      </c>
      <c r="H34" s="47">
        <v>54.189100000000003</v>
      </c>
      <c r="I34" s="47">
        <v>60.4206</v>
      </c>
      <c r="J34" s="47">
        <v>67.262100000000004</v>
      </c>
      <c r="K34" s="47">
        <v>74.192800000000005</v>
      </c>
      <c r="L34" s="47">
        <v>79.9512</v>
      </c>
      <c r="M34" s="47">
        <v>83.562100000000001</v>
      </c>
      <c r="N34" s="47">
        <v>85.457300000000004</v>
      </c>
      <c r="O34" s="47">
        <v>86.499200000000002</v>
      </c>
      <c r="P34" s="47">
        <v>79.9512</v>
      </c>
    </row>
    <row r="35" spans="1:16" ht="13">
      <c r="B35" s="48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</row>
    <row r="36" spans="1:16" ht="13">
      <c r="A36" t="s">
        <v>24</v>
      </c>
      <c r="C36" s="35" t="s">
        <v>3</v>
      </c>
      <c r="D36" s="35" t="s">
        <v>4</v>
      </c>
      <c r="E36" s="35" t="s">
        <v>5</v>
      </c>
      <c r="F36" s="35" t="s">
        <v>6</v>
      </c>
      <c r="G36" s="35" t="s">
        <v>7</v>
      </c>
      <c r="H36" s="35" t="s">
        <v>8</v>
      </c>
      <c r="I36" s="35" t="s">
        <v>9</v>
      </c>
      <c r="J36" s="35" t="s">
        <v>10</v>
      </c>
      <c r="K36" s="35" t="s">
        <v>11</v>
      </c>
      <c r="L36" s="2" t="s">
        <v>12</v>
      </c>
      <c r="M36" s="2" t="s">
        <v>13</v>
      </c>
      <c r="N36" s="2" t="s">
        <v>14</v>
      </c>
      <c r="O36" s="3" t="s">
        <v>15</v>
      </c>
      <c r="P36" s="3" t="s">
        <v>16</v>
      </c>
    </row>
    <row r="37" spans="1:16">
      <c r="B37" s="48" t="s">
        <v>45</v>
      </c>
      <c r="C37">
        <f t="shared" ref="C37:P37" si="3">C29/(C23+C29)</f>
        <v>0.6755290449616046</v>
      </c>
      <c r="D37">
        <f t="shared" si="3"/>
        <v>0.68794257414337368</v>
      </c>
      <c r="E37">
        <f t="shared" si="3"/>
        <v>0.69049011661109372</v>
      </c>
      <c r="F37">
        <f t="shared" si="3"/>
        <v>0.65808519196086823</v>
      </c>
      <c r="G37">
        <f t="shared" si="3"/>
        <v>0.6000784665396256</v>
      </c>
      <c r="H37">
        <f t="shared" si="3"/>
        <v>0.54762901871489522</v>
      </c>
      <c r="I37">
        <f t="shared" si="3"/>
        <v>0.51793091171734496</v>
      </c>
      <c r="J37">
        <f t="shared" si="3"/>
        <v>0.50675977484260204</v>
      </c>
      <c r="K37">
        <f t="shared" si="3"/>
        <v>0.50261300229944195</v>
      </c>
      <c r="L37">
        <f t="shared" si="3"/>
        <v>0.50085898080974722</v>
      </c>
      <c r="M37">
        <f t="shared" si="3"/>
        <v>0.50012813582397342</v>
      </c>
      <c r="N37">
        <f t="shared" si="3"/>
        <v>0.49975286407524139</v>
      </c>
      <c r="O37">
        <f t="shared" si="3"/>
        <v>0.49976491866185702</v>
      </c>
      <c r="P37">
        <f t="shared" si="3"/>
        <v>0.50085898080974722</v>
      </c>
    </row>
    <row r="38" spans="1:16" ht="15.75" customHeight="1">
      <c r="B38" s="48" t="s">
        <v>46</v>
      </c>
      <c r="C38">
        <f t="shared" ref="C38:P38" si="4">C19/C16</f>
        <v>1.608708558861641</v>
      </c>
      <c r="D38">
        <f t="shared" si="4"/>
        <v>2.6116308275436269</v>
      </c>
      <c r="E38">
        <f t="shared" si="4"/>
        <v>3.8840987342165834</v>
      </c>
      <c r="F38">
        <f t="shared" si="4"/>
        <v>4.2188522265953008</v>
      </c>
      <c r="G38">
        <f t="shared" si="4"/>
        <v>3.3861849951734504</v>
      </c>
      <c r="H38">
        <f t="shared" si="4"/>
        <v>2.5976531460431045</v>
      </c>
      <c r="I38">
        <f t="shared" si="4"/>
        <v>2.0524535567187536</v>
      </c>
      <c r="J38">
        <f t="shared" si="4"/>
        <v>1.6873978811710184</v>
      </c>
      <c r="K38">
        <f t="shared" si="4"/>
        <v>1.4461524641315866</v>
      </c>
      <c r="L38">
        <f t="shared" si="4"/>
        <v>1.3036319779375856</v>
      </c>
      <c r="M38">
        <f t="shared" si="4"/>
        <v>1.2329551405599859</v>
      </c>
      <c r="N38">
        <f t="shared" si="4"/>
        <v>1.2013974885242045</v>
      </c>
      <c r="O38">
        <f t="shared" si="4"/>
        <v>1.186455586455603</v>
      </c>
      <c r="P38">
        <f t="shared" si="4"/>
        <v>1.3036319779375856</v>
      </c>
    </row>
    <row r="39" spans="1:16" ht="13">
      <c r="C39" s="12"/>
      <c r="D39" s="12"/>
      <c r="E39" s="12"/>
    </row>
    <row r="40" spans="1:16" ht="13">
      <c r="C40" s="12"/>
      <c r="D40" s="12"/>
      <c r="E40" s="12"/>
    </row>
    <row r="41" spans="1:16" ht="13">
      <c r="C41" s="12"/>
      <c r="D41" s="12"/>
      <c r="E41" s="12"/>
    </row>
    <row r="42" spans="1:16" ht="13">
      <c r="C42" s="35"/>
      <c r="D42" s="35"/>
      <c r="E42" s="35"/>
      <c r="F42" s="35"/>
      <c r="G42" s="35"/>
      <c r="H42" s="35"/>
      <c r="I42" s="35"/>
      <c r="J42" s="35"/>
      <c r="K42" s="35"/>
      <c r="L42" s="2"/>
      <c r="M42" s="2"/>
      <c r="N42" s="2"/>
      <c r="O42" s="3"/>
      <c r="P42" s="3"/>
    </row>
    <row r="43" spans="1:16">
      <c r="B43" s="48"/>
    </row>
    <row r="44" spans="1:16">
      <c r="B44" s="48"/>
    </row>
    <row r="46" spans="1:16">
      <c r="B46" s="48"/>
    </row>
    <row r="56" spans="2:35" ht="13">
      <c r="B56" s="35"/>
      <c r="C56" s="35"/>
      <c r="D56" s="35"/>
      <c r="E56" s="35"/>
      <c r="F56" s="35"/>
      <c r="G56" s="35"/>
      <c r="H56" s="35"/>
      <c r="I56" s="35"/>
      <c r="J56" s="35"/>
      <c r="K56" s="49"/>
      <c r="L56" s="35"/>
      <c r="M56" s="35"/>
      <c r="N56" s="35"/>
      <c r="O56" s="35"/>
      <c r="P56" s="35"/>
      <c r="Q56" s="35"/>
      <c r="R56" s="35"/>
      <c r="S56" s="35"/>
      <c r="T56" s="35"/>
      <c r="V56" s="35"/>
      <c r="W56" s="35"/>
      <c r="X56" s="35"/>
      <c r="Y56" s="35"/>
      <c r="AA56" s="35"/>
      <c r="AB56" s="35"/>
      <c r="AC56" s="35"/>
      <c r="AD56" s="35"/>
      <c r="AF56" s="35"/>
      <c r="AG56" s="35"/>
      <c r="AH56" s="35"/>
      <c r="AI56" s="35"/>
    </row>
    <row r="67" spans="9:9">
      <c r="I67" s="27"/>
    </row>
    <row r="71" spans="9:9">
      <c r="I71" s="28"/>
    </row>
    <row r="72" spans="9:9">
      <c r="I72" s="29"/>
    </row>
    <row r="73" spans="9:9">
      <c r="I73" s="29"/>
    </row>
  </sheetData>
  <pageMargins left="0.39374999999999999" right="0.39374999999999999" top="0.78749999999999998" bottom="0.78749999999999998" header="0.511811023622047" footer="0.511811023622047"/>
  <pageSetup paperSize="9" orientation="landscape" useFirstPageNumber="1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"/>
  <sheetViews>
    <sheetView tabSelected="1" zoomScale="84" zoomScaleNormal="84" workbookViewId="0">
      <selection activeCell="C3" sqref="C3"/>
    </sheetView>
  </sheetViews>
  <sheetFormatPr defaultColWidth="11.54296875" defaultRowHeight="12.5"/>
  <cols>
    <col min="1" max="1" width="6.54296875" style="85" customWidth="1"/>
    <col min="2" max="2" width="30.7265625" style="85" customWidth="1"/>
    <col min="3" max="3" width="13.54296875" style="85" customWidth="1"/>
    <col min="4" max="6" width="12.7265625" style="85" customWidth="1"/>
    <col min="7" max="7" width="2" style="85" customWidth="1"/>
    <col min="8" max="11" width="12.7265625" style="85" customWidth="1"/>
    <col min="12" max="12" width="2" style="85" customWidth="1"/>
    <col min="13" max="16" width="12.7265625" style="85" customWidth="1"/>
    <col min="17" max="17" width="2" style="85" customWidth="1"/>
    <col min="18" max="21" width="12.7265625" style="85" customWidth="1"/>
    <col min="22" max="22" width="2" style="85" customWidth="1"/>
    <col min="23" max="23" width="13.7265625" style="85" customWidth="1"/>
    <col min="24" max="24" width="15.26953125" style="85" customWidth="1"/>
    <col min="25" max="26" width="12.7265625" style="85" customWidth="1"/>
    <col min="27" max="27" width="2" style="85" customWidth="1"/>
    <col min="28" max="31" width="12.7265625" style="85" customWidth="1"/>
    <col min="32" max="32" width="2" style="85" customWidth="1"/>
    <col min="33" max="36" width="12.7265625" style="85" customWidth="1"/>
  </cols>
  <sheetData>
    <row r="1" spans="1:36" ht="12.75" customHeight="1"/>
    <row r="2" spans="1:36" ht="12.75" customHeight="1">
      <c r="A2" s="5"/>
      <c r="B2" s="48" t="s">
        <v>47</v>
      </c>
      <c r="C2" s="35" t="s">
        <v>6</v>
      </c>
      <c r="D2" s="35" t="s">
        <v>6</v>
      </c>
      <c r="E2" s="35" t="s">
        <v>6</v>
      </c>
      <c r="F2" s="35" t="s">
        <v>6</v>
      </c>
      <c r="G2" s="35"/>
      <c r="H2" s="35" t="s">
        <v>48</v>
      </c>
      <c r="I2" s="35" t="s">
        <v>48</v>
      </c>
      <c r="J2" s="35" t="s">
        <v>48</v>
      </c>
      <c r="K2" s="35" t="s">
        <v>48</v>
      </c>
      <c r="L2" s="35"/>
      <c r="M2" s="35" t="s">
        <v>8</v>
      </c>
      <c r="N2" s="35" t="s">
        <v>8</v>
      </c>
      <c r="O2" s="35" t="s">
        <v>8</v>
      </c>
      <c r="P2" s="35" t="s">
        <v>8</v>
      </c>
      <c r="Q2" s="35"/>
      <c r="R2" s="35" t="s">
        <v>9</v>
      </c>
      <c r="S2" s="35" t="s">
        <v>9</v>
      </c>
      <c r="T2" s="35" t="s">
        <v>9</v>
      </c>
      <c r="U2" s="35" t="s">
        <v>9</v>
      </c>
      <c r="W2" s="32" t="s">
        <v>10</v>
      </c>
      <c r="X2" s="32" t="s">
        <v>10</v>
      </c>
      <c r="Y2" s="32" t="s">
        <v>10</v>
      </c>
      <c r="Z2" s="32" t="s">
        <v>10</v>
      </c>
      <c r="AA2" s="35"/>
      <c r="AB2" s="35" t="s">
        <v>11</v>
      </c>
      <c r="AC2" s="35" t="s">
        <v>11</v>
      </c>
      <c r="AD2" s="35" t="s">
        <v>11</v>
      </c>
      <c r="AE2" s="35" t="s">
        <v>11</v>
      </c>
      <c r="AG2" s="35" t="s">
        <v>12</v>
      </c>
      <c r="AH2" s="35" t="s">
        <v>12</v>
      </c>
      <c r="AI2" s="35" t="s">
        <v>12</v>
      </c>
      <c r="AJ2" s="35" t="s">
        <v>12</v>
      </c>
    </row>
    <row r="3" spans="1:36" ht="12.75" customHeight="1">
      <c r="A3" s="6" t="s">
        <v>38</v>
      </c>
      <c r="B3" s="48" t="s">
        <v>49</v>
      </c>
      <c r="C3" s="38">
        <v>101325</v>
      </c>
      <c r="D3" s="38">
        <v>101325</v>
      </c>
      <c r="E3" s="38">
        <v>101325</v>
      </c>
      <c r="F3" s="38">
        <v>101325</v>
      </c>
      <c r="G3" s="38"/>
      <c r="H3" s="38">
        <v>101325</v>
      </c>
      <c r="I3" s="38">
        <v>101325</v>
      </c>
      <c r="J3" s="38">
        <v>101325</v>
      </c>
      <c r="K3" s="38">
        <v>101325</v>
      </c>
      <c r="L3" s="38"/>
      <c r="M3" s="38">
        <v>101325</v>
      </c>
      <c r="N3" s="38">
        <v>101325</v>
      </c>
      <c r="O3" s="38">
        <v>101325</v>
      </c>
      <c r="P3" s="38">
        <v>101325</v>
      </c>
      <c r="Q3" s="38"/>
      <c r="R3" s="38">
        <v>101325</v>
      </c>
      <c r="S3" s="38">
        <v>101325</v>
      </c>
      <c r="T3" s="38">
        <v>101325</v>
      </c>
      <c r="U3" s="38">
        <v>101325</v>
      </c>
      <c r="V3" s="38"/>
      <c r="W3" s="38">
        <v>101325</v>
      </c>
      <c r="X3" s="38">
        <v>101325</v>
      </c>
      <c r="Y3" s="38">
        <v>101325</v>
      </c>
      <c r="Z3" s="38">
        <v>101325</v>
      </c>
      <c r="AA3" s="38"/>
      <c r="AB3" s="38">
        <v>101325</v>
      </c>
      <c r="AC3" s="38">
        <v>101325</v>
      </c>
      <c r="AD3" s="38">
        <v>101325</v>
      </c>
      <c r="AE3" s="38">
        <v>101325</v>
      </c>
      <c r="AF3" s="38"/>
      <c r="AG3" s="38">
        <v>101325</v>
      </c>
      <c r="AH3" s="38">
        <v>101325</v>
      </c>
      <c r="AI3" s="38">
        <v>101325</v>
      </c>
      <c r="AJ3" s="38">
        <v>101325</v>
      </c>
    </row>
    <row r="4" spans="1:36" ht="12.75" customHeight="1">
      <c r="A4" s="6" t="s">
        <v>50</v>
      </c>
      <c r="B4" s="48" t="s">
        <v>51</v>
      </c>
      <c r="C4" s="38">
        <v>0.01</v>
      </c>
      <c r="D4" s="38">
        <v>0.01</v>
      </c>
      <c r="E4" s="38">
        <v>0.01</v>
      </c>
      <c r="F4" s="38">
        <v>0.01</v>
      </c>
      <c r="G4" s="38"/>
      <c r="H4" s="38">
        <v>0.01</v>
      </c>
      <c r="I4" s="38">
        <v>0.01</v>
      </c>
      <c r="J4" s="38">
        <v>0.01</v>
      </c>
      <c r="K4" s="38">
        <v>0.01</v>
      </c>
      <c r="L4" s="38"/>
      <c r="M4" s="38">
        <v>0.01</v>
      </c>
      <c r="N4" s="38">
        <v>0.01</v>
      </c>
      <c r="O4" s="38">
        <v>0.01</v>
      </c>
      <c r="P4" s="38">
        <v>0.01</v>
      </c>
      <c r="Q4" s="38"/>
      <c r="R4" s="38">
        <v>0.01</v>
      </c>
      <c r="S4" s="38">
        <v>0.01</v>
      </c>
      <c r="T4" s="38">
        <v>0.01</v>
      </c>
      <c r="U4" s="38">
        <v>0.01</v>
      </c>
      <c r="V4" s="38"/>
      <c r="W4" s="38">
        <v>0.01</v>
      </c>
      <c r="X4" s="38">
        <v>0.01</v>
      </c>
      <c r="Y4" s="38">
        <v>0.01</v>
      </c>
      <c r="Z4" s="38">
        <v>0.01</v>
      </c>
      <c r="AA4" s="38"/>
      <c r="AB4" s="38">
        <v>0.01</v>
      </c>
      <c r="AC4" s="38">
        <v>0.01</v>
      </c>
      <c r="AD4" s="38">
        <v>0.01</v>
      </c>
      <c r="AE4" s="38">
        <v>0.01</v>
      </c>
      <c r="AF4" s="38"/>
      <c r="AG4" s="38">
        <v>0.01</v>
      </c>
      <c r="AH4" s="38">
        <v>0.01</v>
      </c>
      <c r="AI4" s="38">
        <v>0.01</v>
      </c>
      <c r="AJ4" s="38">
        <v>0.01</v>
      </c>
    </row>
    <row r="5" spans="1:36" ht="12.75" customHeight="1">
      <c r="A5" s="6" t="s">
        <v>50</v>
      </c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</row>
    <row r="6" spans="1:36" ht="12.75" customHeight="1">
      <c r="A6" s="6" t="s">
        <v>32</v>
      </c>
      <c r="B6" s="13" t="s">
        <v>52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</row>
    <row r="7" spans="1:36" ht="12.75" customHeight="1">
      <c r="A7" s="6"/>
      <c r="B7" s="48" t="s">
        <v>20</v>
      </c>
      <c r="C7" s="38">
        <v>1</v>
      </c>
      <c r="D7" s="38">
        <v>1</v>
      </c>
      <c r="E7" s="38">
        <v>1</v>
      </c>
      <c r="F7" s="38">
        <v>1</v>
      </c>
      <c r="G7" s="38"/>
      <c r="H7" s="38">
        <v>1</v>
      </c>
      <c r="I7" s="38">
        <v>1</v>
      </c>
      <c r="J7" s="38">
        <v>1</v>
      </c>
      <c r="K7" s="38">
        <v>1</v>
      </c>
      <c r="L7" s="38"/>
      <c r="M7" s="38">
        <v>1</v>
      </c>
      <c r="N7" s="38">
        <v>1</v>
      </c>
      <c r="O7" s="38">
        <v>1</v>
      </c>
      <c r="P7" s="38">
        <v>1</v>
      </c>
      <c r="Q7" s="38"/>
      <c r="R7" s="38">
        <v>1</v>
      </c>
      <c r="S7" s="38">
        <v>1</v>
      </c>
      <c r="T7" s="38">
        <v>1</v>
      </c>
      <c r="U7" s="38">
        <v>1</v>
      </c>
      <c r="V7" s="38"/>
      <c r="W7" s="38">
        <v>1</v>
      </c>
      <c r="X7" s="38">
        <v>1</v>
      </c>
      <c r="Y7" s="38">
        <v>1</v>
      </c>
      <c r="Z7" s="38">
        <v>1</v>
      </c>
      <c r="AA7" s="38"/>
      <c r="AB7" s="38">
        <v>1</v>
      </c>
      <c r="AC7" s="38">
        <v>1</v>
      </c>
      <c r="AD7" s="38">
        <v>1</v>
      </c>
      <c r="AE7" s="38">
        <v>1</v>
      </c>
      <c r="AF7" s="38"/>
      <c r="AG7" s="38">
        <v>1</v>
      </c>
      <c r="AH7" s="38">
        <v>1</v>
      </c>
      <c r="AI7" s="38">
        <v>1</v>
      </c>
      <c r="AJ7" s="38">
        <v>1</v>
      </c>
    </row>
    <row r="8" spans="1:36" ht="12.75" customHeight="1">
      <c r="A8" s="14" t="s">
        <v>53</v>
      </c>
      <c r="B8" s="48" t="s">
        <v>21</v>
      </c>
      <c r="C8" s="38">
        <v>0.5</v>
      </c>
      <c r="D8" s="38">
        <v>0.6</v>
      </c>
      <c r="E8" s="38">
        <v>0.7</v>
      </c>
      <c r="F8" s="38">
        <v>0.8</v>
      </c>
      <c r="G8" s="38"/>
      <c r="H8" s="38">
        <v>0.5</v>
      </c>
      <c r="I8" s="38">
        <v>0.6</v>
      </c>
      <c r="J8" s="38">
        <v>0.7</v>
      </c>
      <c r="K8" s="38">
        <v>0.8</v>
      </c>
      <c r="L8" s="38"/>
      <c r="M8" s="38">
        <v>0.5</v>
      </c>
      <c r="N8" s="38">
        <v>0.6</v>
      </c>
      <c r="O8" s="38">
        <v>0.7</v>
      </c>
      <c r="P8" s="38">
        <v>0.8</v>
      </c>
      <c r="Q8" s="38"/>
      <c r="R8" s="38">
        <v>0.5</v>
      </c>
      <c r="S8" s="38">
        <v>0.6</v>
      </c>
      <c r="T8" s="38">
        <v>0.7</v>
      </c>
      <c r="U8" s="38">
        <v>0.8</v>
      </c>
      <c r="V8" s="38"/>
      <c r="W8" s="38">
        <v>0.5</v>
      </c>
      <c r="X8" s="38">
        <v>0.6</v>
      </c>
      <c r="Y8" s="38">
        <v>0.7</v>
      </c>
      <c r="Z8" s="38">
        <v>0.8</v>
      </c>
      <c r="AA8" s="38"/>
      <c r="AB8" s="38">
        <f>AB7/(1+AB7)</f>
        <v>0.5</v>
      </c>
      <c r="AC8" s="38">
        <v>0.6</v>
      </c>
      <c r="AD8" s="38">
        <v>0.7</v>
      </c>
      <c r="AE8" s="38">
        <v>0.8</v>
      </c>
      <c r="AF8" s="38"/>
      <c r="AG8" s="38">
        <v>0.5</v>
      </c>
      <c r="AH8" s="38">
        <v>0.6</v>
      </c>
      <c r="AI8" s="38">
        <v>0.7</v>
      </c>
      <c r="AJ8" s="38">
        <v>0.8</v>
      </c>
    </row>
    <row r="9" spans="1:36" ht="12.75" customHeight="1">
      <c r="A9" s="7"/>
      <c r="B9" s="48" t="s">
        <v>22</v>
      </c>
      <c r="C9" s="38">
        <v>0.5</v>
      </c>
      <c r="D9" s="38">
        <v>0.4</v>
      </c>
      <c r="E9" s="38">
        <v>0.3</v>
      </c>
      <c r="F9" s="38">
        <v>0.2</v>
      </c>
      <c r="G9" s="38"/>
      <c r="H9" s="38">
        <v>0.5</v>
      </c>
      <c r="I9" s="38">
        <v>0.4</v>
      </c>
      <c r="J9" s="38">
        <v>0.3</v>
      </c>
      <c r="K9" s="38">
        <v>0.2</v>
      </c>
      <c r="L9" s="38"/>
      <c r="M9" s="38">
        <v>0.5</v>
      </c>
      <c r="N9" s="38">
        <v>0.4</v>
      </c>
      <c r="O9" s="38">
        <v>0.3</v>
      </c>
      <c r="P9" s="38">
        <v>0.2</v>
      </c>
      <c r="Q9" s="38"/>
      <c r="R9" s="38">
        <v>0.5</v>
      </c>
      <c r="S9" s="38">
        <v>0.4</v>
      </c>
      <c r="T9" s="38">
        <v>0.3</v>
      </c>
      <c r="U9" s="38">
        <v>0.2</v>
      </c>
      <c r="V9" s="38"/>
      <c r="W9" s="38">
        <v>0.5</v>
      </c>
      <c r="X9" s="38">
        <v>0.4</v>
      </c>
      <c r="Y9" s="38">
        <v>0.3</v>
      </c>
      <c r="Z9" s="38">
        <v>0.2</v>
      </c>
      <c r="AA9" s="38"/>
      <c r="AB9" s="38">
        <f>1/(1+AB7)</f>
        <v>0.5</v>
      </c>
      <c r="AC9" s="38">
        <v>0.4</v>
      </c>
      <c r="AD9" s="38">
        <v>0.3</v>
      </c>
      <c r="AE9" s="38">
        <v>0.2</v>
      </c>
      <c r="AF9" s="38"/>
      <c r="AG9" s="38">
        <v>0.5</v>
      </c>
      <c r="AH9" s="38">
        <v>0.4</v>
      </c>
      <c r="AI9" s="38">
        <v>0.3</v>
      </c>
      <c r="AJ9" s="38">
        <v>0.2</v>
      </c>
    </row>
    <row r="10" spans="1:36" ht="12.75" customHeight="1"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8"/>
      <c r="W10" s="39"/>
      <c r="X10" s="39"/>
      <c r="Y10" s="39"/>
      <c r="Z10" s="39"/>
      <c r="AA10" s="39"/>
      <c r="AB10" s="39"/>
      <c r="AC10" s="39"/>
      <c r="AD10" s="39"/>
      <c r="AE10" s="39"/>
      <c r="AF10" s="38"/>
      <c r="AG10" s="39"/>
      <c r="AH10" s="39"/>
      <c r="AI10" s="39"/>
      <c r="AJ10" s="39"/>
    </row>
    <row r="11" spans="1:36" ht="12.75" customHeight="1">
      <c r="A11" s="15"/>
      <c r="B11" s="13" t="s">
        <v>54</v>
      </c>
      <c r="C11" s="61"/>
      <c r="D11" s="61"/>
      <c r="E11" s="61"/>
      <c r="F11" s="61"/>
      <c r="G11" s="61"/>
      <c r="H11" s="40"/>
      <c r="I11" s="40"/>
      <c r="J11" s="40"/>
      <c r="K11" s="40"/>
      <c r="L11" s="61"/>
      <c r="M11" s="62"/>
      <c r="N11" s="61"/>
      <c r="O11" s="61"/>
      <c r="P11" s="61"/>
      <c r="Q11" s="61"/>
      <c r="R11" s="40"/>
      <c r="S11" s="40"/>
      <c r="T11" s="40"/>
      <c r="U11" s="40"/>
      <c r="V11" s="63"/>
      <c r="W11" s="61"/>
      <c r="X11" s="61"/>
      <c r="Y11" s="61"/>
      <c r="Z11" s="61"/>
      <c r="AA11" s="61"/>
      <c r="AB11" s="40"/>
      <c r="AC11" s="40"/>
      <c r="AD11" s="40"/>
      <c r="AE11" s="40"/>
      <c r="AF11" s="63"/>
      <c r="AG11" s="61"/>
      <c r="AH11" s="61"/>
      <c r="AI11" s="61"/>
      <c r="AJ11" s="61"/>
    </row>
    <row r="12" spans="1:36" ht="16.5" customHeight="1">
      <c r="A12" s="6" t="s">
        <v>26</v>
      </c>
      <c r="B12" s="48" t="s">
        <v>25</v>
      </c>
      <c r="C12" s="64">
        <v>1.146343E-3</v>
      </c>
      <c r="D12" s="64">
        <v>1.4990933000000001E-3</v>
      </c>
      <c r="E12" s="64">
        <v>1.8367644E-3</v>
      </c>
      <c r="F12" s="64">
        <v>2.1036678999999999E-3</v>
      </c>
      <c r="G12" s="64"/>
      <c r="H12" s="64">
        <v>5.3949483999999996E-4</v>
      </c>
      <c r="I12" s="64">
        <v>7.1673042999999997E-4</v>
      </c>
      <c r="J12" s="64">
        <v>8.8360735000000002E-4</v>
      </c>
      <c r="K12" s="64">
        <v>1.0176956999999999E-3</v>
      </c>
      <c r="L12" s="64"/>
      <c r="M12" s="65">
        <v>2.4817174000000002E-4</v>
      </c>
      <c r="N12" s="64">
        <v>3.4444772E-4</v>
      </c>
      <c r="O12" s="64">
        <v>4.4023089000000003E-4</v>
      </c>
      <c r="P12" s="64">
        <v>5.2614608000000002E-4</v>
      </c>
      <c r="Q12" s="64"/>
      <c r="R12" s="64">
        <v>1.1262527000000001E-4</v>
      </c>
      <c r="S12" s="64">
        <v>1.6475861000000001E-4</v>
      </c>
      <c r="T12" s="64">
        <v>2.2062625E-4</v>
      </c>
      <c r="U12" s="64">
        <v>2.7627476999999998E-4</v>
      </c>
      <c r="V12" s="63"/>
      <c r="W12" s="86">
        <v>5.2354132000000002E-5</v>
      </c>
      <c r="X12" s="87">
        <v>8.0842087999999997E-5</v>
      </c>
      <c r="Y12" s="41">
        <v>1.1388085000000001E-4</v>
      </c>
      <c r="Z12" s="41">
        <v>1.4987249E-4</v>
      </c>
      <c r="AA12" s="64"/>
      <c r="AB12" s="64">
        <v>2.4882441999999999E-5</v>
      </c>
      <c r="AC12" s="64">
        <v>4.1038887000000002E-5</v>
      </c>
      <c r="AD12" s="64">
        <v>6.1019712000000001E-5</v>
      </c>
      <c r="AE12" s="64">
        <v>8.4242364000000007E-5</v>
      </c>
      <c r="AF12" s="63"/>
      <c r="AG12" s="64">
        <v>1.1525835E-5</v>
      </c>
      <c r="AH12" s="64">
        <v>2.0931971999999999E-5</v>
      </c>
      <c r="AI12" s="64">
        <v>3.3462735000000003E-5</v>
      </c>
      <c r="AJ12" s="64">
        <v>4.9409293000000002E-5</v>
      </c>
    </row>
    <row r="13" spans="1:36" ht="16.5" customHeight="1">
      <c r="A13" s="6" t="s">
        <v>28</v>
      </c>
      <c r="B13" s="48" t="s">
        <v>27</v>
      </c>
      <c r="C13" s="64">
        <v>2.8513869999999999E-3</v>
      </c>
      <c r="D13" s="64">
        <v>1.887264E-3</v>
      </c>
      <c r="E13" s="64">
        <v>1.0488524E-3</v>
      </c>
      <c r="F13" s="64">
        <v>4.0484083E-4</v>
      </c>
      <c r="G13" s="64"/>
      <c r="H13" s="64">
        <v>2.5630221999999999E-3</v>
      </c>
      <c r="I13" s="64">
        <v>1.6760765E-3</v>
      </c>
      <c r="J13" s="64">
        <v>9.2935130999999998E-4</v>
      </c>
      <c r="K13" s="64">
        <v>3.7282677E-4</v>
      </c>
      <c r="L13" s="64"/>
      <c r="M13" s="65">
        <v>2.2905447000000001E-3</v>
      </c>
      <c r="N13" s="64">
        <v>1.5021418999999999E-3</v>
      </c>
      <c r="O13" s="64">
        <v>8.5452121000000004E-4</v>
      </c>
      <c r="P13" s="64">
        <v>3.7065680000000003E-4</v>
      </c>
      <c r="Q13" s="64"/>
      <c r="R13" s="64">
        <v>1.9789724E-3</v>
      </c>
      <c r="S13" s="64">
        <v>1.2860968999999999E-3</v>
      </c>
      <c r="T13" s="64">
        <v>7.3560268999999998E-4</v>
      </c>
      <c r="U13" s="64">
        <v>3.3061746999999997E-4</v>
      </c>
      <c r="V13" s="63"/>
      <c r="W13" s="41">
        <v>1.6368935999999999E-3</v>
      </c>
      <c r="X13" s="41">
        <v>1.0374188999999999E-3</v>
      </c>
      <c r="Y13" s="41">
        <v>5.8121080999999999E-4</v>
      </c>
      <c r="Z13" s="41">
        <v>2.5769696999999999E-4</v>
      </c>
      <c r="AA13" s="64"/>
      <c r="AB13" s="64">
        <v>1.2903596E-3</v>
      </c>
      <c r="AC13" s="64">
        <v>7.7850629000000002E-4</v>
      </c>
      <c r="AD13" s="64">
        <v>4.1380795999999999E-4</v>
      </c>
      <c r="AE13" s="64">
        <v>1.7180192E-4</v>
      </c>
      <c r="AF13" s="63"/>
      <c r="AG13" s="64">
        <v>1.0024413000000001E-3</v>
      </c>
      <c r="AH13" s="64">
        <v>5.5336836999999998E-4</v>
      </c>
      <c r="AI13" s="64">
        <v>2.7085645999999999E-4</v>
      </c>
      <c r="AJ13" s="64">
        <v>1.0633115000000001E-4</v>
      </c>
    </row>
    <row r="14" spans="1:36" ht="16.5" customHeight="1">
      <c r="A14" s="6" t="s">
        <v>30</v>
      </c>
      <c r="B14" s="48" t="s">
        <v>29</v>
      </c>
      <c r="C14" s="64">
        <v>1.0594112E-3</v>
      </c>
      <c r="D14" s="64">
        <v>8.4207154999999998E-4</v>
      </c>
      <c r="E14" s="64">
        <v>5.9614271000000001E-4</v>
      </c>
      <c r="F14" s="64">
        <v>3.3582584E-4</v>
      </c>
      <c r="G14" s="64"/>
      <c r="H14" s="64">
        <v>1.6960356E-3</v>
      </c>
      <c r="I14" s="64">
        <v>1.3563415E-3</v>
      </c>
      <c r="J14" s="64">
        <v>9.7317968999999997E-4</v>
      </c>
      <c r="K14" s="64">
        <v>5.7356167000000003E-4</v>
      </c>
      <c r="L14" s="64"/>
      <c r="M14" s="65">
        <v>2.5567163999999998E-3</v>
      </c>
      <c r="N14" s="64">
        <v>2.1021297000000001E-3</v>
      </c>
      <c r="O14" s="64">
        <v>1.5734881999999999E-3</v>
      </c>
      <c r="P14" s="64">
        <v>1.0027737E-3</v>
      </c>
      <c r="Q14" s="64"/>
      <c r="R14" s="64">
        <v>3.5466593999999999E-3</v>
      </c>
      <c r="S14" s="64">
        <v>2.9852390000000002E-3</v>
      </c>
      <c r="T14" s="64">
        <v>2.3110969000000002E-3</v>
      </c>
      <c r="U14" s="64">
        <v>1.5591711000000001E-3</v>
      </c>
      <c r="V14" s="63"/>
      <c r="W14" s="41">
        <v>4.6102540999999999E-3</v>
      </c>
      <c r="X14" s="41">
        <v>3.9367500000000001E-3</v>
      </c>
      <c r="Y14" s="41">
        <v>3.1160875999999998E-3</v>
      </c>
      <c r="Z14" s="41">
        <v>2.1853863999999998E-3</v>
      </c>
      <c r="AA14" s="64"/>
      <c r="AB14" s="64">
        <v>5.6728463999999998E-3</v>
      </c>
      <c r="AC14" s="64">
        <v>4.9006507000000001E-3</v>
      </c>
      <c r="AD14" s="64">
        <v>3.9273262999999997E-3</v>
      </c>
      <c r="AE14" s="64">
        <v>2.7972979000000001E-3</v>
      </c>
      <c r="AF14" s="63"/>
      <c r="AG14" s="64">
        <v>6.5270826000000002E-3</v>
      </c>
      <c r="AH14" s="64">
        <v>5.7215579000000003E-3</v>
      </c>
      <c r="AI14" s="64">
        <v>4.5930401000000001E-3</v>
      </c>
      <c r="AJ14" s="64">
        <v>3.2188577000000001E-3</v>
      </c>
    </row>
    <row r="15" spans="1:36" ht="16.5" customHeight="1">
      <c r="A15" s="6" t="s">
        <v>32</v>
      </c>
      <c r="B15" s="48" t="s">
        <v>31</v>
      </c>
      <c r="C15" s="64">
        <v>3.2378149999999998E-3</v>
      </c>
      <c r="D15" s="64">
        <v>3.3834007000000002E-3</v>
      </c>
      <c r="E15" s="64">
        <v>3.3061526999999999E-3</v>
      </c>
      <c r="F15" s="64">
        <v>2.8544926999999999E-3</v>
      </c>
      <c r="G15" s="64"/>
      <c r="H15" s="64">
        <v>3.1779203E-3</v>
      </c>
      <c r="I15" s="64">
        <v>3.2915055999999999E-3</v>
      </c>
      <c r="J15" s="64">
        <v>3.1681179000000001E-3</v>
      </c>
      <c r="K15" s="64">
        <v>2.6807850000000002E-3</v>
      </c>
      <c r="L15" s="64"/>
      <c r="M15" s="65">
        <v>2.8621942999999999E-3</v>
      </c>
      <c r="N15" s="64">
        <v>2.8935866999999999E-3</v>
      </c>
      <c r="O15" s="64">
        <v>2.7174694999999999E-3</v>
      </c>
      <c r="P15" s="64">
        <v>2.2559129E-3</v>
      </c>
      <c r="Q15" s="64"/>
      <c r="R15" s="64">
        <v>2.4953959E-3</v>
      </c>
      <c r="S15" s="64">
        <v>2.4425673000000002E-3</v>
      </c>
      <c r="T15" s="64">
        <v>2.2176980000000002E-3</v>
      </c>
      <c r="U15" s="64">
        <v>1.7795942000000001E-3</v>
      </c>
      <c r="V15" s="63"/>
      <c r="W15" s="41">
        <v>2.1159589000000001E-3</v>
      </c>
      <c r="X15" s="41">
        <v>1.9884122999999998E-3</v>
      </c>
      <c r="Y15" s="41">
        <v>1.7214909999999999E-3</v>
      </c>
      <c r="Z15" s="41">
        <v>1.2992198E-3</v>
      </c>
      <c r="AA15" s="64"/>
      <c r="AB15" s="64">
        <v>1.7464346E-3</v>
      </c>
      <c r="AC15" s="64">
        <v>1.5423368999999999E-3</v>
      </c>
      <c r="AD15" s="64">
        <v>1.2450580000000001E-3</v>
      </c>
      <c r="AE15" s="64">
        <v>8.5909847000000005E-4</v>
      </c>
      <c r="AF15" s="63"/>
      <c r="AG15" s="64">
        <v>1.4680349000000001E-3</v>
      </c>
      <c r="AH15" s="64">
        <v>1.1717056000000001E-3</v>
      </c>
      <c r="AI15" s="64">
        <v>8.6524715999999999E-4</v>
      </c>
      <c r="AJ15" s="64">
        <v>5.6848018000000004E-4</v>
      </c>
    </row>
    <row r="16" spans="1:36" ht="16.5" customHeight="1">
      <c r="A16" s="10"/>
      <c r="B16" s="48" t="s">
        <v>33</v>
      </c>
      <c r="C16" s="64">
        <v>4.942859E-3</v>
      </c>
      <c r="D16" s="64">
        <v>5.7715713999999998E-3</v>
      </c>
      <c r="E16" s="64">
        <v>6.5182408000000001E-3</v>
      </c>
      <c r="F16" s="64">
        <v>7.1556655999999996E-3</v>
      </c>
      <c r="G16" s="64"/>
      <c r="H16" s="64">
        <v>5.2014475999999999E-3</v>
      </c>
      <c r="I16" s="64">
        <v>6.2508516999999998E-3</v>
      </c>
      <c r="J16" s="64">
        <v>7.2138619000000001E-3</v>
      </c>
      <c r="K16" s="64">
        <v>8.0359161000000002E-3</v>
      </c>
      <c r="L16" s="64"/>
      <c r="M16" s="65">
        <v>4.9045673E-3</v>
      </c>
      <c r="N16" s="64">
        <v>6.0512808999999999E-3</v>
      </c>
      <c r="O16" s="64">
        <v>7.1317599000000004E-3</v>
      </c>
      <c r="P16" s="64">
        <v>8.1004236E-3</v>
      </c>
      <c r="Q16" s="64"/>
      <c r="R16" s="64">
        <v>4.3617431E-3</v>
      </c>
      <c r="S16" s="64">
        <v>5.5639056000000003E-3</v>
      </c>
      <c r="T16" s="64">
        <v>6.7326744000000003E-3</v>
      </c>
      <c r="U16" s="64">
        <v>7.8339368999999996E-3</v>
      </c>
      <c r="V16" s="63"/>
      <c r="W16" s="41">
        <v>3.7004984000000001E-3</v>
      </c>
      <c r="X16" s="41">
        <v>4.9449892000000004E-3</v>
      </c>
      <c r="Y16" s="41">
        <v>6.1888209000000001E-3</v>
      </c>
      <c r="Z16" s="41">
        <v>7.4070443000000003E-3</v>
      </c>
      <c r="AA16" s="64"/>
      <c r="AB16" s="64">
        <v>3.0119117000000002E-3</v>
      </c>
      <c r="AC16" s="64">
        <v>4.2798042999999996E-3</v>
      </c>
      <c r="AD16" s="64">
        <v>5.5978462000000001E-3</v>
      </c>
      <c r="AE16" s="64">
        <v>6.9466579999999997E-3</v>
      </c>
      <c r="AF16" s="63"/>
      <c r="AG16" s="64">
        <v>2.4589503999999998E-3</v>
      </c>
      <c r="AH16" s="64">
        <v>3.7041420000000001E-3</v>
      </c>
      <c r="AI16" s="64">
        <v>5.1026409000000002E-3</v>
      </c>
      <c r="AJ16" s="64">
        <v>6.6254019999999999E-3</v>
      </c>
    </row>
    <row r="17" spans="1:36" ht="16.5" customHeight="1">
      <c r="A17" s="6"/>
      <c r="B17" s="48" t="s">
        <v>34</v>
      </c>
      <c r="C17" s="64">
        <v>4.4694992999999997E-3</v>
      </c>
      <c r="D17" s="64">
        <v>5.6184130000000001E-3</v>
      </c>
      <c r="E17" s="64">
        <v>7.0203187999999996E-3</v>
      </c>
      <c r="F17" s="64">
        <v>8.9381715999999993E-3</v>
      </c>
      <c r="G17" s="64"/>
      <c r="H17" s="64">
        <v>5.7430902999999998E-3</v>
      </c>
      <c r="I17" s="64">
        <v>7.2750337E-3</v>
      </c>
      <c r="J17" s="64">
        <v>9.0646675999999995E-3</v>
      </c>
      <c r="K17" s="64">
        <v>1.1283824E-2</v>
      </c>
      <c r="L17" s="64"/>
      <c r="M17" s="65">
        <v>6.6414624E-3</v>
      </c>
      <c r="N17" s="64">
        <v>8.4175180000000006E-3</v>
      </c>
      <c r="O17" s="64">
        <v>1.0402069E-2</v>
      </c>
      <c r="P17" s="64">
        <v>1.2691795000000001E-2</v>
      </c>
      <c r="Q17" s="64"/>
      <c r="R17" s="64">
        <v>7.2793537000000004E-3</v>
      </c>
      <c r="S17" s="64">
        <v>9.2279157000000004E-3</v>
      </c>
      <c r="T17" s="64">
        <v>1.134105E-2</v>
      </c>
      <c r="U17" s="64">
        <v>1.3667856000000001E-2</v>
      </c>
      <c r="V17" s="63"/>
      <c r="W17" s="41">
        <v>7.7793330000000003E-3</v>
      </c>
      <c r="X17" s="41">
        <v>9.8499037000000008E-3</v>
      </c>
      <c r="Y17" s="41">
        <v>1.2050748E-2</v>
      </c>
      <c r="Z17" s="41">
        <v>1.4401035E-2</v>
      </c>
      <c r="AA17" s="64"/>
      <c r="AB17" s="64">
        <v>8.2038007999999992E-3</v>
      </c>
      <c r="AC17" s="64">
        <v>1.0375585999999999E-2</v>
      </c>
      <c r="AD17" s="64">
        <v>1.2632902999999999E-2</v>
      </c>
      <c r="AE17" s="64">
        <v>1.4972417E-2</v>
      </c>
      <c r="AF17" s="63"/>
      <c r="AG17" s="64">
        <v>8.5089135999999992E-3</v>
      </c>
      <c r="AH17" s="64">
        <v>1.0786431000000001E-2</v>
      </c>
      <c r="AI17" s="64">
        <v>1.3067828E-2</v>
      </c>
      <c r="AJ17" s="64">
        <v>1.5332701000000001E-2</v>
      </c>
    </row>
    <row r="18" spans="1:36" ht="16.5" customHeight="1">
      <c r="A18" s="16" t="s">
        <v>55</v>
      </c>
      <c r="B18" s="17" t="s">
        <v>56</v>
      </c>
      <c r="C18" s="66">
        <f>SUM(C12:C17)</f>
        <v>1.7707314499999998E-2</v>
      </c>
      <c r="D18" s="66">
        <f>SUM(D12:D17)</f>
        <v>1.9001813950000002E-2</v>
      </c>
      <c r="E18" s="66">
        <f>SUM(E12:E17)</f>
        <v>2.032647181E-2</v>
      </c>
      <c r="F18" s="66">
        <f>SUM(F12:F17)</f>
        <v>2.1792664470000001E-2</v>
      </c>
      <c r="G18" s="66"/>
      <c r="H18" s="66">
        <f>SUM(H12:H17)</f>
        <v>1.8921010839999999E-2</v>
      </c>
      <c r="I18" s="66">
        <f>SUM(I12:I17)</f>
        <v>2.0566539429999999E-2</v>
      </c>
      <c r="J18" s="66">
        <f>SUM(J12:J17)</f>
        <v>2.2232785749999998E-2</v>
      </c>
      <c r="K18" s="66">
        <f>SUM(K12:K17)</f>
        <v>2.396460924E-2</v>
      </c>
      <c r="L18" s="66"/>
      <c r="M18" s="66">
        <f>SUM(M12:M17)</f>
        <v>1.9503656839999998E-2</v>
      </c>
      <c r="N18" s="66">
        <f>SUM(N12:N17)</f>
        <v>2.1311104920000001E-2</v>
      </c>
      <c r="O18" s="66">
        <f>SUM(O12:O17)</f>
        <v>2.3119538700000001E-2</v>
      </c>
      <c r="P18" s="66">
        <f>SUM(P12:P17)</f>
        <v>2.4947708079999999E-2</v>
      </c>
      <c r="Q18" s="66"/>
      <c r="R18" s="66">
        <f>SUM(R12:R17)</f>
        <v>1.9774749769999999E-2</v>
      </c>
      <c r="S18" s="66">
        <f>SUM(S12:S17)</f>
        <v>2.1670483109999999E-2</v>
      </c>
      <c r="T18" s="66">
        <f>SUM(T12:T17)</f>
        <v>2.3558748240000003E-2</v>
      </c>
      <c r="U18" s="66">
        <f>SUM(U12:U17)</f>
        <v>2.5447450439999998E-2</v>
      </c>
      <c r="V18" s="63"/>
      <c r="W18" s="66">
        <f>SUM(W12:W17)</f>
        <v>1.9895292132E-2</v>
      </c>
      <c r="X18" s="66">
        <f>SUM(X12:X17)</f>
        <v>2.1838316188000001E-2</v>
      </c>
      <c r="Y18" s="66">
        <f>SUM(Y12:Y17)</f>
        <v>2.377223916E-2</v>
      </c>
      <c r="Z18" s="66">
        <f>SUM(Z12:Z17)</f>
        <v>2.5700254959999998E-2</v>
      </c>
      <c r="AA18" s="66"/>
      <c r="AB18" s="66">
        <f>SUM(AB12:AB17)</f>
        <v>1.9950235541999997E-2</v>
      </c>
      <c r="AC18" s="66">
        <f>SUM(AC12:AC17)</f>
        <v>2.1917923076999999E-2</v>
      </c>
      <c r="AD18" s="66">
        <f>SUM(AD12:AD17)</f>
        <v>2.3877961172000001E-2</v>
      </c>
      <c r="AE18" s="66">
        <f>SUM(AE12:AE17)</f>
        <v>2.5831515653999999E-2</v>
      </c>
      <c r="AF18" s="63"/>
      <c r="AG18" s="66">
        <f>SUM(AG12:AG17)</f>
        <v>1.9976948634999998E-2</v>
      </c>
      <c r="AH18" s="66">
        <f>SUM(AH12:AH17)</f>
        <v>2.1958136842000001E-2</v>
      </c>
      <c r="AI18" s="66">
        <f>SUM(AI12:AI17)</f>
        <v>2.3933075355E-2</v>
      </c>
      <c r="AJ18" s="66">
        <f>SUM(AJ12:AJ17)</f>
        <v>2.5901181323000001E-2</v>
      </c>
    </row>
    <row r="19" spans="1:36" ht="16.5" customHeight="1"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3"/>
      <c r="W19" s="67"/>
      <c r="X19" s="67"/>
      <c r="Y19" s="67"/>
      <c r="Z19" s="67"/>
      <c r="AA19" s="67"/>
      <c r="AB19" s="67"/>
      <c r="AC19" s="67"/>
      <c r="AD19" s="67"/>
      <c r="AE19" s="67"/>
      <c r="AF19" s="63"/>
      <c r="AG19" s="67"/>
      <c r="AH19" s="67"/>
      <c r="AI19" s="67"/>
      <c r="AJ19" s="67"/>
    </row>
    <row r="20" spans="1:36" ht="16.5" customHeight="1">
      <c r="A20" s="5" t="s">
        <v>26</v>
      </c>
      <c r="B20" t="s">
        <v>57</v>
      </c>
      <c r="C20" s="64">
        <v>1.31762E-6</v>
      </c>
      <c r="D20" s="64">
        <v>1.43994E-6</v>
      </c>
      <c r="E20" s="64">
        <v>1.5059400000000001E-6</v>
      </c>
      <c r="F20" s="64">
        <v>1.42284E-6</v>
      </c>
      <c r="G20" s="64"/>
      <c r="H20" s="64">
        <v>1.7838500000000001E-6</v>
      </c>
      <c r="I20" s="64">
        <v>2.0072999999999998E-6</v>
      </c>
      <c r="J20" s="64">
        <v>2.1983600000000002E-6</v>
      </c>
      <c r="K20" s="64">
        <v>2.3536499999999999E-6</v>
      </c>
      <c r="L20" s="64"/>
      <c r="M20" s="64">
        <v>2.1495899999999999E-6</v>
      </c>
      <c r="N20" s="64">
        <v>2.4727000000000001E-6</v>
      </c>
      <c r="O20" s="64">
        <v>2.7849400000000001E-6</v>
      </c>
      <c r="P20" s="64">
        <v>3.1548299999999998E-6</v>
      </c>
      <c r="Q20" s="64"/>
      <c r="R20" s="64">
        <v>2.3560500000000001E-6</v>
      </c>
      <c r="S20" s="64">
        <v>2.7739900000000002E-6</v>
      </c>
      <c r="T20" s="64">
        <v>3.1890400000000001E-6</v>
      </c>
      <c r="U20" s="64">
        <v>3.64769E-6</v>
      </c>
      <c r="V20" s="63"/>
      <c r="W20" s="87">
        <v>2.4403799999999998E-6</v>
      </c>
      <c r="X20" s="87">
        <v>2.9049100000000002E-6</v>
      </c>
      <c r="Y20" s="87">
        <v>3.37014E-6</v>
      </c>
      <c r="Z20" s="87">
        <v>3.8563900000000002E-6</v>
      </c>
      <c r="AA20" s="88"/>
      <c r="AB20" s="64">
        <v>2.4745600000000002E-6</v>
      </c>
      <c r="AC20" s="64">
        <v>2.95871E-6</v>
      </c>
      <c r="AD20" s="64">
        <v>3.4444399999999998E-6</v>
      </c>
      <c r="AE20" s="64">
        <v>3.9406500000000001E-6</v>
      </c>
      <c r="AF20" s="63"/>
      <c r="AG20" s="64">
        <v>2.4899500000000002E-6</v>
      </c>
      <c r="AH20" s="64">
        <v>2.9830399999999999E-6</v>
      </c>
      <c r="AI20" s="64">
        <v>3.4775799999999998E-6</v>
      </c>
      <c r="AJ20" s="64">
        <v>3.9763299999999999E-6</v>
      </c>
    </row>
    <row r="21" spans="1:36" ht="16.5" customHeight="1">
      <c r="A21" s="6"/>
      <c r="B21" s="47" t="s">
        <v>36</v>
      </c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89"/>
      <c r="X21" s="88"/>
      <c r="Y21" s="89"/>
      <c r="Z21" s="89"/>
      <c r="AA21" s="89"/>
      <c r="AB21" s="63"/>
      <c r="AC21" s="64"/>
      <c r="AD21" s="63"/>
      <c r="AE21" s="63"/>
      <c r="AF21" s="63"/>
      <c r="AG21" s="63"/>
      <c r="AH21" s="63"/>
      <c r="AI21" s="63"/>
      <c r="AJ21" s="63"/>
    </row>
    <row r="22" spans="1:36" ht="16.5" customHeight="1">
      <c r="A22" s="6" t="s">
        <v>28</v>
      </c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7"/>
      <c r="N22" s="63"/>
      <c r="O22" s="63"/>
      <c r="P22" s="63"/>
      <c r="Q22" s="63"/>
      <c r="R22" s="67"/>
      <c r="S22" s="63"/>
      <c r="T22" s="63"/>
      <c r="U22" s="63"/>
      <c r="V22" s="63"/>
      <c r="W22" s="89"/>
      <c r="X22" s="88"/>
      <c r="Y22" s="89"/>
      <c r="Z22" s="89"/>
      <c r="AA22" s="89"/>
      <c r="AB22" s="63"/>
      <c r="AC22" s="64"/>
      <c r="AD22" s="63"/>
      <c r="AE22" s="63"/>
      <c r="AF22" s="63"/>
      <c r="AG22" s="63"/>
      <c r="AH22" s="63"/>
      <c r="AI22" s="63"/>
      <c r="AJ22" s="63"/>
    </row>
    <row r="23" spans="1:36" ht="16.5" customHeight="1">
      <c r="A23" s="6"/>
      <c r="B23" t="s">
        <v>58</v>
      </c>
      <c r="C23" s="64">
        <v>2.1486099999999999E-6</v>
      </c>
      <c r="D23" s="64">
        <v>2.11274E-6</v>
      </c>
      <c r="E23" s="64">
        <v>1.9511499999999999E-6</v>
      </c>
      <c r="F23" s="64">
        <v>1.5951599999999999E-6</v>
      </c>
      <c r="G23" s="64"/>
      <c r="H23" s="64">
        <v>2.43698E-6</v>
      </c>
      <c r="I23" s="64">
        <v>2.32392E-6</v>
      </c>
      <c r="J23" s="64">
        <v>2.0706499999999998E-6</v>
      </c>
      <c r="K23" s="64">
        <v>1.6271700000000001E-6</v>
      </c>
      <c r="L23" s="64"/>
      <c r="M23" s="64">
        <v>2.7094599999999998E-6</v>
      </c>
      <c r="N23" s="64">
        <v>2.49786E-6</v>
      </c>
      <c r="O23" s="64">
        <v>2.1454799999999999E-6</v>
      </c>
      <c r="P23" s="64">
        <v>1.6293400000000001E-6</v>
      </c>
      <c r="Q23" s="64"/>
      <c r="R23" s="64">
        <v>3.0210299999999999E-6</v>
      </c>
      <c r="S23" s="64">
        <v>2.7139E-6</v>
      </c>
      <c r="T23" s="64">
        <v>2.2643999999999999E-6</v>
      </c>
      <c r="U23" s="64">
        <v>1.6693799999999999E-6</v>
      </c>
      <c r="V23" s="63"/>
      <c r="W23" s="87">
        <v>3.3631099999999999E-6</v>
      </c>
      <c r="X23" s="87">
        <v>2.9625800000000001E-6</v>
      </c>
      <c r="Y23" s="87">
        <v>2.4187900000000002E-6</v>
      </c>
      <c r="Z23" s="87">
        <v>1.7423E-6</v>
      </c>
      <c r="AA23" s="88"/>
      <c r="AB23" s="64">
        <v>3.7096399999999999E-6</v>
      </c>
      <c r="AC23" s="64">
        <v>3.2214900000000001E-6</v>
      </c>
      <c r="AD23" s="64">
        <v>2.5861900000000001E-6</v>
      </c>
      <c r="AE23" s="64">
        <v>1.8281999999999999E-6</v>
      </c>
      <c r="AF23" s="63"/>
      <c r="AG23" s="64">
        <v>3.9975600000000002E-6</v>
      </c>
      <c r="AH23" s="64">
        <v>3.4466300000000002E-6</v>
      </c>
      <c r="AI23" s="64">
        <v>2.7291400000000001E-6</v>
      </c>
      <c r="AJ23" s="64">
        <v>1.89367E-6</v>
      </c>
    </row>
    <row r="24" spans="1:36" ht="16.5" customHeight="1">
      <c r="A24" s="6" t="s">
        <v>38</v>
      </c>
      <c r="B24" s="47" t="s">
        <v>39</v>
      </c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89"/>
      <c r="X24" s="89"/>
      <c r="Y24" s="89"/>
      <c r="Z24" s="89"/>
      <c r="AA24" s="89"/>
      <c r="AB24" s="63"/>
      <c r="AC24" s="63"/>
      <c r="AD24" s="63"/>
      <c r="AE24" s="63"/>
      <c r="AF24" s="63"/>
      <c r="AG24" s="63"/>
      <c r="AH24" s="63"/>
      <c r="AI24" s="63"/>
      <c r="AJ24" s="63"/>
    </row>
    <row r="25" spans="1:36" ht="16.5" customHeight="1">
      <c r="A25" s="6"/>
      <c r="C25" s="63"/>
      <c r="D25" s="63"/>
      <c r="E25" s="63"/>
      <c r="F25" s="64"/>
      <c r="G25" s="64"/>
      <c r="H25" s="63"/>
      <c r="I25" s="63"/>
      <c r="J25" s="63"/>
      <c r="K25" s="63"/>
      <c r="L25" s="64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89"/>
      <c r="X25" s="89"/>
      <c r="Y25" s="89"/>
      <c r="Z25" s="89"/>
      <c r="AA25" s="89"/>
      <c r="AB25" s="63"/>
      <c r="AC25" s="63"/>
      <c r="AD25" s="63"/>
      <c r="AE25" s="63"/>
      <c r="AF25" s="63"/>
      <c r="AG25" s="63"/>
      <c r="AH25" s="63"/>
      <c r="AI25" s="63"/>
      <c r="AJ25" s="63"/>
    </row>
    <row r="26" spans="1:36" ht="16.5" customHeight="1">
      <c r="A26" s="6"/>
      <c r="B26" t="s">
        <v>59</v>
      </c>
      <c r="C26" s="64">
        <v>2.5360299999999999E-6</v>
      </c>
      <c r="D26" s="64">
        <v>3.06097E-6</v>
      </c>
      <c r="E26" s="64">
        <v>3.6572899999999998E-6</v>
      </c>
      <c r="F26" s="64">
        <v>4.4734899999999998E-6</v>
      </c>
      <c r="G26" s="64"/>
      <c r="H26" s="64">
        <v>2.67665E-6</v>
      </c>
      <c r="I26" s="64">
        <v>3.2759700000000001E-6</v>
      </c>
      <c r="J26" s="64">
        <v>3.91803E-6</v>
      </c>
      <c r="K26" s="64">
        <v>4.6286500000000001E-6</v>
      </c>
      <c r="L26" s="64"/>
      <c r="M26" s="64">
        <v>2.6022400000000001E-6</v>
      </c>
      <c r="N26" s="64">
        <v>3.1828499999999999E-6</v>
      </c>
      <c r="O26" s="64">
        <v>3.7748299999999998E-6</v>
      </c>
      <c r="P26" s="64">
        <v>4.3190200000000002E-6</v>
      </c>
      <c r="Q26" s="64"/>
      <c r="R26" s="64">
        <v>2.5313199999999999E-6</v>
      </c>
      <c r="S26" s="64">
        <v>3.06126E-6</v>
      </c>
      <c r="T26" s="64">
        <v>3.59034E-6</v>
      </c>
      <c r="U26" s="64">
        <v>4.0760399999999999E-6</v>
      </c>
      <c r="V26" s="63"/>
      <c r="W26" s="87">
        <v>2.5072700000000001E-6</v>
      </c>
      <c r="X26" s="87">
        <v>3.01425E-6</v>
      </c>
      <c r="Y26" s="87">
        <v>3.5159800000000002E-6</v>
      </c>
      <c r="Z26" s="87">
        <v>3.9937399999999998E-6</v>
      </c>
      <c r="AA26" s="88"/>
      <c r="AB26" s="64">
        <v>2.50056E-6</v>
      </c>
      <c r="AC26" s="64">
        <v>3.0002500000000002E-6</v>
      </c>
      <c r="AD26" s="64">
        <v>3.49454E-6</v>
      </c>
      <c r="AE26" s="64">
        <v>3.9751100000000001E-6</v>
      </c>
      <c r="AF26" s="63"/>
      <c r="AG26" s="64">
        <v>2.49852E-6</v>
      </c>
      <c r="AH26" s="64">
        <v>2.9960300000000002E-6</v>
      </c>
      <c r="AI26" s="64">
        <v>3.4889499999999999E-6</v>
      </c>
      <c r="AJ26" s="64">
        <v>3.97426E-6</v>
      </c>
    </row>
    <row r="27" spans="1:36" ht="16.5" customHeight="1">
      <c r="A27" s="6" t="s">
        <v>41</v>
      </c>
      <c r="B27" s="47" t="s">
        <v>42</v>
      </c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</row>
    <row r="28" spans="1:36" ht="16.5" customHeight="1">
      <c r="A28" s="10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</row>
    <row r="29" spans="1:36" ht="16.5" customHeight="1">
      <c r="A29" s="6">
        <v>1</v>
      </c>
      <c r="B29" s="48" t="s">
        <v>43</v>
      </c>
      <c r="C29" s="44">
        <v>77.073099999999997</v>
      </c>
      <c r="D29" s="44">
        <v>75.015100000000004</v>
      </c>
      <c r="E29" s="44">
        <v>73.760499999999993</v>
      </c>
      <c r="F29" s="42">
        <v>73.7042</v>
      </c>
      <c r="G29" s="42"/>
      <c r="H29" s="44">
        <v>89.210099999999997</v>
      </c>
      <c r="I29" s="44">
        <v>88.054500000000004</v>
      </c>
      <c r="J29" s="44">
        <v>87.376999999999995</v>
      </c>
      <c r="K29" s="44">
        <v>87.278800000000004</v>
      </c>
      <c r="L29" s="42"/>
      <c r="M29" s="44">
        <v>95.036600000000007</v>
      </c>
      <c r="N29" s="44">
        <v>94.259200000000007</v>
      </c>
      <c r="O29" s="44">
        <v>93.710999999999999</v>
      </c>
      <c r="P29" s="44">
        <v>93.423199999999994</v>
      </c>
      <c r="Q29" s="44"/>
      <c r="R29" s="44">
        <v>97.747500000000002</v>
      </c>
      <c r="S29" s="44">
        <v>97.254000000000005</v>
      </c>
      <c r="T29" s="44">
        <v>96.848200000000006</v>
      </c>
      <c r="U29" s="44">
        <v>96.546599999999998</v>
      </c>
      <c r="V29" s="43"/>
      <c r="W29" s="41">
        <v>98.9529</v>
      </c>
      <c r="X29" s="44">
        <v>98.652600000000007</v>
      </c>
      <c r="Y29" s="41">
        <v>98.373099999999994</v>
      </c>
      <c r="Z29" s="41">
        <v>98.126599999999996</v>
      </c>
      <c r="AA29" s="44"/>
      <c r="AB29" s="44">
        <v>99.502399999999994</v>
      </c>
      <c r="AC29" s="44">
        <v>99.316000000000003</v>
      </c>
      <c r="AD29" s="44">
        <v>99.128299999999996</v>
      </c>
      <c r="AE29" s="44">
        <v>98.947000000000003</v>
      </c>
      <c r="AF29" s="43"/>
      <c r="AG29" s="44">
        <v>99.769499999999994</v>
      </c>
      <c r="AH29" s="44">
        <v>99.6511</v>
      </c>
      <c r="AI29" s="44">
        <v>99.522000000000006</v>
      </c>
      <c r="AJ29" s="44">
        <v>99.382400000000004</v>
      </c>
    </row>
    <row r="30" spans="1:36" ht="16.5" customHeight="1">
      <c r="A30" s="11"/>
      <c r="B30" s="48" t="s">
        <v>44</v>
      </c>
      <c r="C30" s="44">
        <v>42.972299999999997</v>
      </c>
      <c r="D30" s="44">
        <v>52.818399999999997</v>
      </c>
      <c r="E30" s="44">
        <v>65.038300000000007</v>
      </c>
      <c r="F30" s="42">
        <v>79.757999999999996</v>
      </c>
      <c r="G30" s="42"/>
      <c r="H30" s="44">
        <v>48.739600000000003</v>
      </c>
      <c r="I30" s="44">
        <v>58.098100000000002</v>
      </c>
      <c r="J30" s="44">
        <v>69.021600000000007</v>
      </c>
      <c r="K30" s="44">
        <v>81.358699999999999</v>
      </c>
      <c r="L30" s="42"/>
      <c r="M30" s="44">
        <v>54.189100000000003</v>
      </c>
      <c r="N30" s="44">
        <v>62.4465</v>
      </c>
      <c r="O30" s="44">
        <v>71.516000000000005</v>
      </c>
      <c r="P30" s="44">
        <v>81.467200000000005</v>
      </c>
      <c r="Q30" s="44"/>
      <c r="R30" s="44">
        <v>60.4206</v>
      </c>
      <c r="S30" s="44">
        <v>67.8476</v>
      </c>
      <c r="T30" s="44">
        <v>75.479900000000001</v>
      </c>
      <c r="U30" s="44">
        <v>83.469099999999997</v>
      </c>
      <c r="V30" s="43"/>
      <c r="W30" s="41">
        <v>67.262100000000004</v>
      </c>
      <c r="X30" s="44">
        <v>74.064499999999995</v>
      </c>
      <c r="Y30" s="41">
        <v>80.626300000000001</v>
      </c>
      <c r="Z30" s="41">
        <v>87.115200000000002</v>
      </c>
      <c r="AA30" s="44"/>
      <c r="AB30" s="44">
        <v>74.192800000000005</v>
      </c>
      <c r="AC30" s="44">
        <v>80.537300000000002</v>
      </c>
      <c r="AD30" s="44">
        <v>86.206400000000002</v>
      </c>
      <c r="AE30" s="44">
        <v>91.409899999999993</v>
      </c>
      <c r="AF30" s="43"/>
      <c r="AG30" s="44">
        <v>79.9512</v>
      </c>
      <c r="AH30" s="44">
        <v>86.165800000000004</v>
      </c>
      <c r="AI30" s="44">
        <v>90.971500000000006</v>
      </c>
      <c r="AJ30" s="44">
        <v>94.683400000000006</v>
      </c>
    </row>
    <row r="31" spans="1:36" ht="16.5" customHeight="1">
      <c r="B31" s="48" t="s">
        <v>45</v>
      </c>
      <c r="C31" s="90">
        <f>C26/(C20+C26)</f>
        <v>0.65808519196086823</v>
      </c>
      <c r="D31" s="90">
        <f>D26/(D20+D26)</f>
        <v>0.6800780286653143</v>
      </c>
      <c r="E31" s="90">
        <f>E26/(E20+E26)</f>
        <v>0.70833373682752843</v>
      </c>
      <c r="F31" s="90">
        <f>F26/(F20+F26)</f>
        <v>0.75869057532397266</v>
      </c>
      <c r="G31" s="90"/>
      <c r="H31" s="90">
        <f>H26/(H20+H26)</f>
        <v>0.6000784665396256</v>
      </c>
      <c r="I31" s="90">
        <f>I26/(I20+I26)</f>
        <v>0.62006484620320368</v>
      </c>
      <c r="J31" s="90">
        <f>J26/(J20+J26)</f>
        <v>0.64057883817088179</v>
      </c>
      <c r="K31" s="90">
        <f>K26/(K20+K26)</f>
        <v>0.66291193446285612</v>
      </c>
      <c r="L31" s="90"/>
      <c r="M31" s="90">
        <f>M26/(M20+M26)</f>
        <v>0.54762901871489522</v>
      </c>
      <c r="N31" s="90">
        <f>N26/(N20+N26)</f>
        <v>0.56278346049455841</v>
      </c>
      <c r="O31" s="90">
        <f>O26/(O20+O26)</f>
        <v>0.57545157833277694</v>
      </c>
      <c r="P31" s="90">
        <f>P26/(P20+P26)</f>
        <v>0.57788422299082809</v>
      </c>
      <c r="Q31" s="90"/>
      <c r="R31" s="90">
        <f>R26/(R20+R26)</f>
        <v>0.51793091171734496</v>
      </c>
      <c r="S31" s="90">
        <f>S26/(S20+S26)</f>
        <v>0.52461505505333961</v>
      </c>
      <c r="T31" s="90">
        <f>T26/(T20+T26)</f>
        <v>0.52959710179986963</v>
      </c>
      <c r="U31" s="90">
        <f>U26/(U20+U26)</f>
        <v>0.52772947785590629</v>
      </c>
      <c r="V31" s="90"/>
      <c r="W31" s="90">
        <f>W26/(W20+W26)</f>
        <v>0.50675977484260204</v>
      </c>
      <c r="X31" s="90">
        <f>X26/(X20+X26)</f>
        <v>0.50923610782611051</v>
      </c>
      <c r="Y31" s="90">
        <f>Y26/(Y20+Y26)</f>
        <v>0.5105894175529907</v>
      </c>
      <c r="Z31" s="90">
        <f>Z26/(Z20+Z26)</f>
        <v>0.50874826276762297</v>
      </c>
      <c r="AA31" s="90"/>
      <c r="AB31" s="90">
        <f>AB26/(AB20+AB26)</f>
        <v>0.50261300229944195</v>
      </c>
      <c r="AC31" s="90">
        <f>AC26/(AC20+AC26)</f>
        <v>0.50348550753822818</v>
      </c>
      <c r="AD31" s="90">
        <f>AD26/(AD20+AD26)</f>
        <v>0.50361004066880155</v>
      </c>
      <c r="AE31" s="90">
        <f>AE26/(AE20+AE26)</f>
        <v>0.5021766703386662</v>
      </c>
      <c r="AF31" s="90"/>
      <c r="AG31" s="90">
        <f>AG26/(AG20+AG26)</f>
        <v>0.50085898080974722</v>
      </c>
      <c r="AH31" s="90">
        <f>AH26/(AH20+AH26)</f>
        <v>0.50108628933931199</v>
      </c>
      <c r="AI31" s="90">
        <f>AI26/(AI20+AI26)</f>
        <v>0.50081604471666674</v>
      </c>
      <c r="AJ31" s="90">
        <f>AJ26/(AJ20+AJ26)</f>
        <v>0.49986982098183902</v>
      </c>
    </row>
    <row r="32" spans="1:36" ht="16.5" customHeight="1">
      <c r="B32" s="48" t="s">
        <v>46</v>
      </c>
      <c r="C32" s="90">
        <f>C17/C14</f>
        <v>4.2188522265953008</v>
      </c>
      <c r="D32" s="90">
        <f>D17/D14</f>
        <v>6.6721325521566426</v>
      </c>
      <c r="E32" s="90">
        <f>E17/E14</f>
        <v>11.776238612395343</v>
      </c>
      <c r="F32" s="90">
        <f>F17/F14</f>
        <v>26.615496889697347</v>
      </c>
      <c r="G32" s="90"/>
      <c r="H32" s="90">
        <f>H17/H14</f>
        <v>3.3861849951734504</v>
      </c>
      <c r="I32" s="90">
        <f>I17/I14</f>
        <v>5.3637182818633802</v>
      </c>
      <c r="J32" s="90">
        <f>J17/J14</f>
        <v>9.3144849745066089</v>
      </c>
      <c r="K32" s="90">
        <f>K17/K14</f>
        <v>19.673253270219398</v>
      </c>
      <c r="L32" s="90"/>
      <c r="M32" s="90">
        <f>M17/M14</f>
        <v>2.5976531460431045</v>
      </c>
      <c r="N32" s="90">
        <f>N17/N14</f>
        <v>4.0042809917960822</v>
      </c>
      <c r="O32" s="90">
        <f>O17/O14</f>
        <v>6.6108338149596548</v>
      </c>
      <c r="P32" s="90">
        <f>P17/P14</f>
        <v>12.656689141328696</v>
      </c>
      <c r="Q32" s="90"/>
      <c r="R32" s="90">
        <f>R17/R14</f>
        <v>2.0524535567187536</v>
      </c>
      <c r="S32" s="90">
        <f>S17/S14</f>
        <v>3.0911815435883021</v>
      </c>
      <c r="T32" s="90">
        <f>T17/T14</f>
        <v>4.9072152708092851</v>
      </c>
      <c r="U32" s="90">
        <f>U17/U14</f>
        <v>8.7661039894851829</v>
      </c>
      <c r="V32" s="90"/>
      <c r="W32" s="90">
        <f>W17/W14</f>
        <v>1.6873978811710184</v>
      </c>
      <c r="X32" s="90">
        <f>X17/X14</f>
        <v>2.5020394233822318</v>
      </c>
      <c r="Y32" s="90">
        <f>Y17/Y14</f>
        <v>3.8672686865414185</v>
      </c>
      <c r="Z32" s="90">
        <f>Z17/Z14</f>
        <v>6.5896973642738876</v>
      </c>
      <c r="AA32" s="90"/>
      <c r="AB32" s="90">
        <f>AB17/AB14</f>
        <v>1.4461524641315866</v>
      </c>
      <c r="AC32" s="90">
        <f>AC17/AC14</f>
        <v>2.1171853770357472</v>
      </c>
      <c r="AD32" s="90">
        <f>AD17/AD14</f>
        <v>3.2166675328199745</v>
      </c>
      <c r="AE32" s="90">
        <v>6.7179159999999998</v>
      </c>
      <c r="AF32" s="90"/>
      <c r="AG32" s="90">
        <f>AG17/AG14</f>
        <v>1.3036319779375856</v>
      </c>
      <c r="AH32" s="90">
        <f>AH17/AH14</f>
        <v>1.8852262248364209</v>
      </c>
      <c r="AI32" s="90">
        <f>AI17/AI14</f>
        <v>2.8451369279358132</v>
      </c>
      <c r="AJ32" s="90">
        <f>AJ17/AJ14</f>
        <v>4.7633982080040385</v>
      </c>
    </row>
    <row r="33" spans="2:36" ht="12.75" customHeight="1"/>
    <row r="34" spans="2:36" ht="12.75" customHeight="1"/>
    <row r="35" spans="2:36" ht="12.75" customHeight="1"/>
    <row r="37" spans="2:36" ht="13">
      <c r="B37" s="13"/>
    </row>
    <row r="38" spans="2:36" ht="45" customHeight="1">
      <c r="B38" s="82"/>
      <c r="C38" s="35"/>
      <c r="D38" s="35"/>
      <c r="E38" s="35"/>
      <c r="F38" s="35"/>
      <c r="G38" s="35"/>
      <c r="H38" s="35"/>
      <c r="I38" s="35"/>
      <c r="L38" s="35"/>
      <c r="N38" s="35"/>
      <c r="O38" s="35"/>
      <c r="P38" s="35"/>
      <c r="Q38" s="35"/>
      <c r="X38" s="35"/>
      <c r="Y38" s="35"/>
      <c r="AA38" s="35"/>
      <c r="AD38" s="35"/>
      <c r="AE38" s="35"/>
      <c r="AH38" s="35"/>
      <c r="AI38" s="35"/>
      <c r="AJ38" s="35"/>
    </row>
    <row r="39" spans="2:36" ht="105" customHeight="1">
      <c r="B39" s="82"/>
      <c r="C39" s="68"/>
      <c r="D39" s="68"/>
      <c r="E39" s="69"/>
      <c r="F39" s="68"/>
      <c r="G39" s="68"/>
      <c r="H39" s="68"/>
      <c r="I39" s="68"/>
      <c r="L39" s="68"/>
      <c r="N39" s="68"/>
      <c r="O39" s="68"/>
      <c r="P39" s="68"/>
      <c r="Q39" s="68"/>
      <c r="V39" s="70"/>
      <c r="X39" s="68"/>
      <c r="Y39" s="68"/>
      <c r="AA39" s="68"/>
      <c r="AD39" s="68"/>
      <c r="AE39" s="68"/>
      <c r="AF39" s="70"/>
      <c r="AH39" s="68"/>
      <c r="AI39" s="68"/>
      <c r="AJ39" s="68"/>
    </row>
    <row r="40" spans="2:36" ht="15" customHeight="1">
      <c r="B40" s="82"/>
      <c r="C40" s="68"/>
      <c r="D40" s="68"/>
      <c r="E40" s="69"/>
      <c r="F40" s="68"/>
      <c r="G40" s="68"/>
      <c r="H40" s="68"/>
      <c r="I40" s="68"/>
      <c r="L40" s="68"/>
      <c r="N40" s="68"/>
      <c r="O40" s="68"/>
      <c r="P40" s="68"/>
      <c r="Q40" s="68"/>
      <c r="V40" s="70"/>
      <c r="X40" s="68"/>
      <c r="Y40" s="68"/>
      <c r="AA40" s="68"/>
      <c r="AD40" s="68"/>
      <c r="AE40" s="68"/>
      <c r="AF40" s="70"/>
      <c r="AH40" s="68"/>
      <c r="AI40" s="68"/>
      <c r="AJ40" s="68"/>
    </row>
    <row r="41" spans="2:36" ht="75" customHeight="1">
      <c r="B41" s="82"/>
      <c r="C41" s="68"/>
      <c r="D41" s="68"/>
      <c r="E41" s="69"/>
      <c r="F41" s="68"/>
      <c r="G41" s="68"/>
      <c r="H41" s="68"/>
      <c r="I41" s="68"/>
      <c r="L41" s="68"/>
      <c r="N41" s="68"/>
      <c r="O41" s="68"/>
      <c r="P41" s="68"/>
      <c r="Q41" s="68"/>
      <c r="V41" s="70"/>
      <c r="X41" s="68"/>
      <c r="Y41" s="68"/>
      <c r="AA41" s="68"/>
      <c r="AD41" s="68"/>
      <c r="AE41" s="68"/>
      <c r="AF41" s="70"/>
      <c r="AH41" s="68"/>
      <c r="AI41" s="68"/>
      <c r="AJ41" s="68"/>
    </row>
    <row r="42" spans="2:36" ht="90" customHeight="1">
      <c r="B42" s="82"/>
      <c r="C42" s="68"/>
      <c r="D42" s="68"/>
      <c r="E42" s="69"/>
      <c r="F42" s="68"/>
      <c r="G42" s="68"/>
      <c r="H42" s="68"/>
      <c r="I42" s="68"/>
      <c r="L42" s="68"/>
      <c r="N42" s="68"/>
      <c r="O42" s="68"/>
      <c r="P42" s="68"/>
      <c r="Q42" s="68"/>
      <c r="V42" s="70"/>
      <c r="X42" s="68"/>
      <c r="Y42" s="68"/>
      <c r="AA42" s="68"/>
      <c r="AD42" s="68"/>
      <c r="AE42" s="68"/>
      <c r="AF42" s="70"/>
      <c r="AH42" s="68"/>
      <c r="AI42" s="68"/>
      <c r="AJ42" s="68"/>
    </row>
    <row r="43" spans="2:36" ht="15" customHeight="1">
      <c r="B43" s="82"/>
      <c r="C43" s="68"/>
      <c r="D43" s="68"/>
      <c r="E43" s="69"/>
      <c r="F43" s="68"/>
      <c r="G43" s="68"/>
      <c r="H43" s="68"/>
      <c r="I43" s="68"/>
      <c r="L43" s="68"/>
      <c r="N43" s="68"/>
      <c r="O43" s="68"/>
      <c r="P43" s="68"/>
      <c r="Q43" s="68"/>
      <c r="V43" s="70"/>
      <c r="X43" s="68"/>
      <c r="Y43" s="68"/>
      <c r="AA43" s="68"/>
      <c r="AD43" s="68"/>
      <c r="AE43" s="68"/>
      <c r="AF43" s="70"/>
      <c r="AH43" s="68"/>
      <c r="AI43" s="68"/>
      <c r="AJ43" s="68"/>
    </row>
    <row r="44" spans="2:36" ht="60" customHeight="1">
      <c r="B44" s="83"/>
    </row>
    <row r="45" spans="2:36" ht="90" customHeight="1">
      <c r="B45" s="83"/>
      <c r="C45" s="30"/>
    </row>
    <row r="47" spans="2:36" ht="15" customHeight="1">
      <c r="B47" s="82"/>
    </row>
    <row r="48" spans="2:36" ht="75" customHeight="1">
      <c r="B48" s="82"/>
    </row>
    <row r="49" spans="2:2" ht="15" customHeight="1">
      <c r="B49" s="84"/>
    </row>
    <row r="51" spans="2:2" ht="90" customHeight="1">
      <c r="B51" s="82"/>
    </row>
    <row r="52" spans="2:2" ht="30" customHeight="1">
      <c r="B52" s="84"/>
    </row>
    <row r="54" spans="2:2" ht="90" customHeight="1">
      <c r="B54" s="82"/>
    </row>
    <row r="55" spans="2:2" ht="15" customHeight="1">
      <c r="B55" s="82"/>
    </row>
    <row r="56" spans="2:2" ht="90" customHeight="1">
      <c r="B56" s="83"/>
    </row>
    <row r="57" spans="2:2" ht="90" customHeight="1">
      <c r="B57" s="83"/>
    </row>
    <row r="58" spans="2:2" ht="13">
      <c r="B58" s="1"/>
    </row>
    <row r="59" spans="2:2" ht="13">
      <c r="B59" s="1"/>
    </row>
    <row r="60" spans="2:2">
      <c r="B60" s="28"/>
    </row>
    <row r="61" spans="2:2">
      <c r="B61" s="27"/>
    </row>
    <row r="62" spans="2:2">
      <c r="B62" s="27"/>
    </row>
    <row r="63" spans="2:2">
      <c r="B63" s="27"/>
    </row>
  </sheetData>
  <pageMargins left="0.39374999999999999" right="0.39374999999999999" top="0.78749999999999998" bottom="0.78749999999999998" header="0.511811023622047" footer="0.511811023622047"/>
  <pageSetup paperSize="9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38"/>
  <sheetViews>
    <sheetView zoomScale="83" zoomScaleNormal="83" workbookViewId="0">
      <selection activeCell="J9" sqref="J9"/>
    </sheetView>
  </sheetViews>
  <sheetFormatPr defaultColWidth="11.54296875" defaultRowHeight="12.5"/>
  <cols>
    <col min="1" max="1" width="6.54296875" style="85" customWidth="1"/>
    <col min="2" max="2" width="30.7265625" style="85" customWidth="1"/>
    <col min="3" max="6" width="12.7265625" style="85" customWidth="1"/>
    <col min="7" max="7" width="2" style="85" customWidth="1"/>
    <col min="8" max="11" width="12.7265625" style="85" customWidth="1"/>
    <col min="12" max="12" width="2" style="85" customWidth="1"/>
    <col min="13" max="16" width="12.7265625" style="85" customWidth="1"/>
    <col min="17" max="17" width="2" style="85" customWidth="1"/>
    <col min="18" max="21" width="12.7265625" style="85" customWidth="1"/>
    <col min="22" max="22" width="2" style="85" customWidth="1"/>
    <col min="23" max="26" width="12.7265625" style="85" customWidth="1"/>
    <col min="27" max="27" width="2" style="85" customWidth="1"/>
    <col min="28" max="31" width="12.7265625" style="85" customWidth="1"/>
    <col min="32" max="32" width="2" style="85" customWidth="1"/>
    <col min="33" max="36" width="12.7265625" style="85" customWidth="1"/>
  </cols>
  <sheetData>
    <row r="1" spans="1:36" ht="12.75" customHeight="1"/>
    <row r="2" spans="1:36" ht="12.75" customHeight="1">
      <c r="A2" s="5"/>
      <c r="B2" s="48" t="s">
        <v>47</v>
      </c>
      <c r="C2" s="35" t="s">
        <v>6</v>
      </c>
      <c r="D2" s="35" t="s">
        <v>6</v>
      </c>
      <c r="E2" s="35" t="s">
        <v>6</v>
      </c>
      <c r="F2" s="35" t="s">
        <v>6</v>
      </c>
      <c r="G2" s="49"/>
      <c r="H2" s="35" t="s">
        <v>48</v>
      </c>
      <c r="I2" s="35" t="s">
        <v>48</v>
      </c>
      <c r="J2" s="35" t="s">
        <v>48</v>
      </c>
      <c r="K2" s="35" t="s">
        <v>48</v>
      </c>
      <c r="L2" s="49"/>
      <c r="M2" s="35" t="s">
        <v>8</v>
      </c>
      <c r="N2" s="35" t="s">
        <v>8</v>
      </c>
      <c r="O2" s="35" t="s">
        <v>8</v>
      </c>
      <c r="P2" s="35" t="s">
        <v>8</v>
      </c>
      <c r="R2" s="35" t="s">
        <v>9</v>
      </c>
      <c r="S2" s="35" t="s">
        <v>9</v>
      </c>
      <c r="T2" s="35" t="s">
        <v>9</v>
      </c>
      <c r="U2" s="35" t="s">
        <v>9</v>
      </c>
      <c r="W2" s="35" t="s">
        <v>10</v>
      </c>
      <c r="X2" s="35" t="s">
        <v>10</v>
      </c>
      <c r="Y2" s="35" t="s">
        <v>10</v>
      </c>
      <c r="Z2" s="35" t="s">
        <v>10</v>
      </c>
      <c r="AB2" s="35" t="s">
        <v>11</v>
      </c>
      <c r="AC2" s="35" t="s">
        <v>11</v>
      </c>
      <c r="AD2" s="35"/>
      <c r="AE2" s="35"/>
      <c r="AG2" s="35"/>
      <c r="AH2" s="35"/>
      <c r="AI2" s="35"/>
      <c r="AJ2" s="35"/>
    </row>
    <row r="3" spans="1:36" ht="12.75" customHeight="1">
      <c r="A3" s="6" t="s">
        <v>38</v>
      </c>
      <c r="B3" s="48" t="s">
        <v>49</v>
      </c>
      <c r="C3">
        <v>506625</v>
      </c>
      <c r="D3">
        <v>506625</v>
      </c>
      <c r="E3">
        <v>506625</v>
      </c>
      <c r="F3">
        <v>506625</v>
      </c>
      <c r="H3">
        <v>506625</v>
      </c>
      <c r="I3">
        <v>506625</v>
      </c>
      <c r="J3">
        <v>506625</v>
      </c>
      <c r="K3">
        <v>506625</v>
      </c>
      <c r="M3">
        <v>506625</v>
      </c>
      <c r="N3">
        <v>506625</v>
      </c>
      <c r="O3">
        <v>506625</v>
      </c>
      <c r="P3">
        <v>506625</v>
      </c>
      <c r="R3">
        <v>506625</v>
      </c>
      <c r="S3">
        <v>506625</v>
      </c>
      <c r="T3">
        <v>506625</v>
      </c>
      <c r="U3">
        <v>506625</v>
      </c>
      <c r="W3">
        <v>506625</v>
      </c>
      <c r="X3">
        <v>506625</v>
      </c>
      <c r="Y3">
        <v>506625</v>
      </c>
      <c r="Z3">
        <v>506625</v>
      </c>
      <c r="AB3">
        <v>506625</v>
      </c>
      <c r="AC3">
        <v>506625</v>
      </c>
    </row>
    <row r="4" spans="1:36" ht="12.75" customHeight="1">
      <c r="A4" s="6" t="s">
        <v>50</v>
      </c>
      <c r="B4" s="48" t="s">
        <v>51</v>
      </c>
      <c r="C4">
        <v>0.01</v>
      </c>
      <c r="D4">
        <v>0.01</v>
      </c>
      <c r="E4">
        <v>0.01</v>
      </c>
      <c r="F4">
        <v>0.01</v>
      </c>
      <c r="H4">
        <v>0.01</v>
      </c>
      <c r="I4">
        <v>0.01</v>
      </c>
      <c r="J4">
        <v>0.01</v>
      </c>
      <c r="K4">
        <v>0.01</v>
      </c>
      <c r="M4">
        <v>0.01</v>
      </c>
      <c r="N4">
        <v>0.01</v>
      </c>
      <c r="O4">
        <v>0.01</v>
      </c>
      <c r="P4">
        <v>0.01</v>
      </c>
      <c r="R4">
        <v>0.01</v>
      </c>
      <c r="S4">
        <v>0.01</v>
      </c>
      <c r="T4">
        <v>0.01</v>
      </c>
      <c r="U4">
        <v>0.01</v>
      </c>
      <c r="W4">
        <v>0.01</v>
      </c>
      <c r="X4">
        <v>0.01</v>
      </c>
      <c r="Y4">
        <v>0.01</v>
      </c>
      <c r="Z4">
        <v>0.01</v>
      </c>
      <c r="AB4">
        <v>0.01</v>
      </c>
      <c r="AC4">
        <v>0.01</v>
      </c>
    </row>
    <row r="5" spans="1:36" ht="12.75" customHeight="1">
      <c r="A5" s="6" t="s">
        <v>50</v>
      </c>
    </row>
    <row r="6" spans="1:36" ht="12.75" customHeight="1">
      <c r="A6" s="6" t="s">
        <v>32</v>
      </c>
      <c r="B6" s="13" t="s">
        <v>52</v>
      </c>
    </row>
    <row r="7" spans="1:36" ht="12.75" customHeight="1">
      <c r="A7" s="6"/>
      <c r="B7" s="48" t="s">
        <v>20</v>
      </c>
      <c r="C7">
        <v>1</v>
      </c>
      <c r="D7">
        <v>1</v>
      </c>
      <c r="E7">
        <v>1</v>
      </c>
      <c r="F7">
        <v>1</v>
      </c>
      <c r="H7">
        <v>1</v>
      </c>
      <c r="I7">
        <v>1</v>
      </c>
      <c r="J7">
        <v>1</v>
      </c>
      <c r="K7">
        <v>1</v>
      </c>
      <c r="M7">
        <v>1</v>
      </c>
      <c r="N7">
        <v>1</v>
      </c>
      <c r="O7">
        <v>1</v>
      </c>
      <c r="P7">
        <v>1</v>
      </c>
      <c r="R7">
        <v>1</v>
      </c>
      <c r="S7">
        <v>1</v>
      </c>
      <c r="T7">
        <v>1</v>
      </c>
      <c r="U7">
        <v>1</v>
      </c>
      <c r="W7">
        <v>1</v>
      </c>
      <c r="X7">
        <v>1</v>
      </c>
      <c r="Y7">
        <v>1</v>
      </c>
      <c r="Z7">
        <v>1</v>
      </c>
      <c r="AB7">
        <v>1</v>
      </c>
      <c r="AC7">
        <v>1</v>
      </c>
    </row>
    <row r="8" spans="1:36" ht="12.75" customHeight="1">
      <c r="A8" s="14" t="s">
        <v>53</v>
      </c>
      <c r="B8" s="48" t="s">
        <v>21</v>
      </c>
      <c r="C8">
        <f>C7/(1+C7)</f>
        <v>0.5</v>
      </c>
      <c r="D8">
        <v>0.6</v>
      </c>
      <c r="E8">
        <v>0.7</v>
      </c>
      <c r="F8">
        <v>0.8</v>
      </c>
      <c r="H8">
        <f>H7/(1+H7)</f>
        <v>0.5</v>
      </c>
      <c r="I8">
        <v>0.6</v>
      </c>
      <c r="J8">
        <v>0.7</v>
      </c>
      <c r="K8">
        <v>0.8</v>
      </c>
      <c r="M8">
        <f>M7/(1+M7)</f>
        <v>0.5</v>
      </c>
      <c r="N8">
        <v>0.6</v>
      </c>
      <c r="O8">
        <v>0.7</v>
      </c>
      <c r="P8">
        <v>0.8</v>
      </c>
      <c r="R8">
        <f>R7/(1+R7)</f>
        <v>0.5</v>
      </c>
      <c r="S8">
        <v>0.6</v>
      </c>
      <c r="T8">
        <v>0.7</v>
      </c>
      <c r="U8">
        <v>0.8</v>
      </c>
      <c r="W8">
        <f>W7/(1+W7)</f>
        <v>0.5</v>
      </c>
      <c r="X8">
        <v>0.6</v>
      </c>
      <c r="Y8">
        <v>0.7</v>
      </c>
      <c r="Z8">
        <v>0.8</v>
      </c>
      <c r="AB8">
        <f>AB7/(1+AB7)</f>
        <v>0.5</v>
      </c>
      <c r="AC8">
        <v>0.6</v>
      </c>
    </row>
    <row r="9" spans="1:36" ht="12.75" customHeight="1">
      <c r="A9" s="7"/>
      <c r="B9" s="48" t="s">
        <v>22</v>
      </c>
      <c r="C9">
        <f>1/(1+C7)</f>
        <v>0.5</v>
      </c>
      <c r="D9">
        <v>0.4</v>
      </c>
      <c r="E9">
        <v>0.3</v>
      </c>
      <c r="F9">
        <v>0.2</v>
      </c>
      <c r="H9">
        <f>1/(1+H7)</f>
        <v>0.5</v>
      </c>
      <c r="I9">
        <v>0.4</v>
      </c>
      <c r="J9">
        <v>0.3</v>
      </c>
      <c r="K9">
        <v>0.2</v>
      </c>
      <c r="M9">
        <f>1/(1+M7)</f>
        <v>0.5</v>
      </c>
      <c r="N9">
        <v>0.4</v>
      </c>
      <c r="O9">
        <v>0.3</v>
      </c>
      <c r="P9">
        <v>0.2</v>
      </c>
      <c r="R9">
        <f>1/(1+R7)</f>
        <v>0.5</v>
      </c>
      <c r="S9">
        <v>0.4</v>
      </c>
      <c r="T9">
        <v>0.3</v>
      </c>
      <c r="U9">
        <v>0.2</v>
      </c>
      <c r="W9">
        <f>1/(1+W7)</f>
        <v>0.5</v>
      </c>
      <c r="X9">
        <v>0.4</v>
      </c>
      <c r="Y9">
        <v>0.3</v>
      </c>
      <c r="Z9">
        <v>0.2</v>
      </c>
      <c r="AB9">
        <f>1/(1+AB7)</f>
        <v>0.5</v>
      </c>
      <c r="AC9">
        <v>0.4</v>
      </c>
    </row>
    <row r="10" spans="1:36" ht="12.75" customHeight="1"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R10" s="49"/>
      <c r="S10" s="49"/>
      <c r="T10" s="49"/>
      <c r="U10" s="49"/>
      <c r="W10" s="49"/>
      <c r="X10" s="49"/>
      <c r="Y10" s="49"/>
      <c r="Z10" s="49"/>
      <c r="AB10" s="49"/>
      <c r="AC10" s="49"/>
      <c r="AD10" s="49"/>
      <c r="AE10" s="49"/>
      <c r="AG10" s="49"/>
      <c r="AH10" s="49"/>
      <c r="AI10" s="49"/>
      <c r="AJ10" s="49"/>
    </row>
    <row r="11" spans="1:36" ht="12.75" customHeight="1">
      <c r="A11" s="15"/>
      <c r="B11" s="13" t="s">
        <v>54</v>
      </c>
      <c r="C11" s="35"/>
      <c r="D11" s="35"/>
      <c r="E11" s="35"/>
      <c r="F11" s="35"/>
      <c r="G11" s="49"/>
      <c r="H11" s="35"/>
      <c r="I11" s="35"/>
      <c r="J11" s="35"/>
      <c r="K11" s="35"/>
      <c r="L11" s="49"/>
      <c r="M11" s="35"/>
      <c r="N11" s="35"/>
      <c r="O11" s="35"/>
      <c r="P11" s="35"/>
      <c r="R11" s="35"/>
      <c r="S11" s="35"/>
      <c r="T11" s="35"/>
      <c r="U11" s="35"/>
      <c r="W11" s="35"/>
      <c r="X11" s="35"/>
      <c r="Y11" s="35"/>
      <c r="Z11" s="35"/>
      <c r="AB11" s="35"/>
      <c r="AC11" s="35"/>
      <c r="AD11" s="35"/>
      <c r="AE11" s="35"/>
      <c r="AG11" s="35"/>
      <c r="AH11" s="35"/>
      <c r="AI11" s="35"/>
      <c r="AJ11" s="35"/>
    </row>
    <row r="12" spans="1:36" ht="12.75" customHeight="1">
      <c r="A12" s="6" t="s">
        <v>26</v>
      </c>
      <c r="B12" s="48" t="s">
        <v>25</v>
      </c>
      <c r="C12" s="47">
        <v>2.7179400999999999E-3</v>
      </c>
      <c r="D12" s="47">
        <v>3.4390166999999998E-3</v>
      </c>
      <c r="E12" s="47">
        <v>4.1607101000000002E-3</v>
      </c>
      <c r="F12" s="45">
        <v>4.8309868000000001E-3</v>
      </c>
      <c r="G12" s="68"/>
      <c r="H12" s="47">
        <v>1.8645337000000001E-3</v>
      </c>
      <c r="I12" s="47">
        <v>2.3809361999999998E-3</v>
      </c>
      <c r="J12" s="47">
        <v>2.8728094000000002E-3</v>
      </c>
      <c r="K12" s="47">
        <v>3.2712267000000001E-3</v>
      </c>
      <c r="L12" s="68"/>
      <c r="M12" s="47">
        <v>1.164953E-3</v>
      </c>
      <c r="N12" s="47">
        <v>1.5261203000000001E-3</v>
      </c>
      <c r="O12" s="47">
        <v>1.8662424000000001E-3</v>
      </c>
      <c r="P12" s="47">
        <v>2.1355383999999999E-3</v>
      </c>
      <c r="Q12" s="70"/>
      <c r="R12" s="47">
        <v>6.6570308999999999E-4</v>
      </c>
      <c r="S12" s="47">
        <v>9.0347525000000002E-4</v>
      </c>
      <c r="T12" s="47">
        <v>1.1320809E-3</v>
      </c>
      <c r="U12" s="47">
        <v>1.3226468999999999E-3</v>
      </c>
      <c r="V12" s="70"/>
      <c r="W12" s="47">
        <v>3.5941981E-4</v>
      </c>
      <c r="X12" s="47">
        <v>5.1042209999999999E-4</v>
      </c>
      <c r="Y12" s="47">
        <v>6.6222161E-4</v>
      </c>
      <c r="Z12" s="47">
        <v>7.9913365000000005E-4</v>
      </c>
      <c r="AA12" s="70"/>
      <c r="AB12" s="47">
        <v>1.8898094000000001E-4</v>
      </c>
      <c r="AC12" s="47">
        <v>2.8319378000000002E-4</v>
      </c>
      <c r="AD12" s="68"/>
      <c r="AE12" s="68"/>
      <c r="AF12" s="70"/>
      <c r="AG12" s="68"/>
      <c r="AH12" s="68"/>
      <c r="AI12" s="68"/>
      <c r="AJ12" s="68"/>
    </row>
    <row r="13" spans="1:36" ht="12.75" customHeight="1">
      <c r="A13" s="6" t="s">
        <v>28</v>
      </c>
      <c r="B13" s="48" t="s">
        <v>27</v>
      </c>
      <c r="C13" s="47">
        <v>3.3505572000000002E-3</v>
      </c>
      <c r="D13" s="47">
        <v>2.3430429999999999E-3</v>
      </c>
      <c r="E13" s="47">
        <v>1.4001464E-3</v>
      </c>
      <c r="F13" s="45">
        <v>5.6977427999999996E-4</v>
      </c>
      <c r="G13" s="68"/>
      <c r="H13" s="47">
        <v>2.8960407000000001E-3</v>
      </c>
      <c r="I13" s="47">
        <v>1.9159856E-3</v>
      </c>
      <c r="J13" s="47">
        <v>1.0404176000000001E-3</v>
      </c>
      <c r="K13" s="47">
        <v>3.5613759E-4</v>
      </c>
      <c r="L13" s="68"/>
      <c r="M13" s="47">
        <v>2.5366070000000002E-3</v>
      </c>
      <c r="N13" s="47">
        <v>1.6393092999999999E-3</v>
      </c>
      <c r="O13" s="47">
        <v>8.7584486999999996E-4</v>
      </c>
      <c r="P13" s="47">
        <v>3.1441492000000001E-4</v>
      </c>
      <c r="Q13" s="70"/>
      <c r="R13" s="47">
        <v>2.2291261000000001E-3</v>
      </c>
      <c r="S13" s="47">
        <v>1.4280124999999999E-3</v>
      </c>
      <c r="T13" s="47">
        <v>7.7266024999999997E-4</v>
      </c>
      <c r="U13" s="47">
        <v>3.0062318000000001E-4</v>
      </c>
      <c r="V13" s="70"/>
      <c r="W13" s="47">
        <v>1.9432787999999999E-3</v>
      </c>
      <c r="X13" s="47">
        <v>1.2369142000000001E-3</v>
      </c>
      <c r="Y13" s="47">
        <v>6.7915664000000003E-4</v>
      </c>
      <c r="Z13" s="47">
        <v>2.8161467E-4</v>
      </c>
      <c r="AA13" s="70"/>
      <c r="AB13" s="47">
        <v>1.6677844E-3</v>
      </c>
      <c r="AC13" s="47">
        <v>1.0474315000000001E-3</v>
      </c>
      <c r="AD13" s="68"/>
      <c r="AE13" s="68"/>
      <c r="AF13" s="70"/>
      <c r="AG13" s="68"/>
      <c r="AH13" s="68"/>
      <c r="AI13" s="68"/>
      <c r="AJ13" s="68"/>
    </row>
    <row r="14" spans="1:36" ht="12.75" customHeight="1">
      <c r="A14" s="6" t="s">
        <v>30</v>
      </c>
      <c r="B14" s="48" t="s">
        <v>29</v>
      </c>
      <c r="C14" s="47">
        <v>6.6557716E-4</v>
      </c>
      <c r="D14" s="47">
        <v>5.3531244999999996E-4</v>
      </c>
      <c r="E14" s="47">
        <v>3.8606270999999999E-4</v>
      </c>
      <c r="F14" s="45">
        <v>2.1502447000000001E-4</v>
      </c>
      <c r="G14" s="68"/>
      <c r="H14" s="47">
        <v>1.0515984000000001E-3</v>
      </c>
      <c r="I14" s="47">
        <v>8.1901244999999998E-4</v>
      </c>
      <c r="J14" s="47">
        <v>5.5751328999999997E-4</v>
      </c>
      <c r="K14" s="47">
        <v>2.8134151000000002E-4</v>
      </c>
      <c r="L14" s="68"/>
      <c r="M14" s="47">
        <v>1.5989865999999999E-3</v>
      </c>
      <c r="N14" s="47">
        <v>1.2494355000000001E-3</v>
      </c>
      <c r="O14" s="47">
        <v>8.5921754999999998E-4</v>
      </c>
      <c r="P14" s="47">
        <v>4.6043248000000002E-4</v>
      </c>
      <c r="Q14" s="70"/>
      <c r="R14" s="47">
        <v>2.2923518E-3</v>
      </c>
      <c r="S14" s="47">
        <v>1.8213910999999999E-3</v>
      </c>
      <c r="T14" s="47">
        <v>1.2924786000000001E-3</v>
      </c>
      <c r="U14" s="47">
        <v>7.4957799000000002E-4</v>
      </c>
      <c r="V14" s="70"/>
      <c r="W14" s="47">
        <v>3.0884094E-3</v>
      </c>
      <c r="X14" s="47">
        <v>2.5078940000000001E-3</v>
      </c>
      <c r="Y14" s="47">
        <v>1.8425030999999999E-3</v>
      </c>
      <c r="Z14" s="47">
        <v>1.1434016E-3</v>
      </c>
      <c r="AA14" s="70"/>
      <c r="AB14" s="47">
        <v>3.9183543999999999E-3</v>
      </c>
      <c r="AC14" s="47">
        <v>3.249306E-3</v>
      </c>
      <c r="AD14" s="68"/>
      <c r="AE14" s="68"/>
      <c r="AF14" s="70"/>
      <c r="AG14" s="68"/>
      <c r="AH14" s="68"/>
      <c r="AI14" s="68"/>
      <c r="AJ14" s="68"/>
    </row>
    <row r="15" spans="1:36" ht="12.75" customHeight="1">
      <c r="A15" s="6" t="s">
        <v>32</v>
      </c>
      <c r="B15" s="48" t="s">
        <v>31</v>
      </c>
      <c r="C15" s="47">
        <v>2.6333086999999998E-3</v>
      </c>
      <c r="D15" s="47">
        <v>2.7786018000000002E-3</v>
      </c>
      <c r="E15" s="47">
        <v>2.8136446999999999E-3</v>
      </c>
      <c r="F15" s="45">
        <v>2.6454272000000002E-3</v>
      </c>
      <c r="G15" s="68"/>
      <c r="H15" s="47">
        <v>3.1563202999999999E-3</v>
      </c>
      <c r="I15" s="47">
        <v>3.3490166E-3</v>
      </c>
      <c r="J15" s="47">
        <v>3.3616517E-3</v>
      </c>
      <c r="K15" s="47">
        <v>3.0063834999999998E-3</v>
      </c>
      <c r="L15" s="68"/>
      <c r="M15" s="47">
        <v>3.3277997E-3</v>
      </c>
      <c r="N15" s="47">
        <v>3.4719462000000001E-3</v>
      </c>
      <c r="O15" s="47">
        <v>3.3890929000000001E-3</v>
      </c>
      <c r="P15" s="47">
        <v>2.9107378999999999E-3</v>
      </c>
      <c r="Q15" s="70"/>
      <c r="R15" s="47">
        <v>3.2493961999999999E-3</v>
      </c>
      <c r="S15" s="47">
        <v>3.3225841E-3</v>
      </c>
      <c r="T15" s="47">
        <v>3.1622010999999999E-3</v>
      </c>
      <c r="U15" s="47">
        <v>2.6491758E-3</v>
      </c>
      <c r="V15" s="70"/>
      <c r="W15" s="47">
        <v>3.0250330999999999E-3</v>
      </c>
      <c r="X15" s="47">
        <v>3.0182778E-3</v>
      </c>
      <c r="Y15" s="47">
        <v>2.7991838000000001E-3</v>
      </c>
      <c r="Z15" s="47">
        <v>2.2933693000000001E-3</v>
      </c>
      <c r="AA15" s="70"/>
      <c r="AB15" s="47">
        <v>2.7460771E-3</v>
      </c>
      <c r="AC15" s="47">
        <v>2.6558312000000001E-3</v>
      </c>
      <c r="AD15" s="68"/>
      <c r="AE15" s="68"/>
      <c r="AF15" s="70"/>
      <c r="AG15" s="68"/>
      <c r="AH15" s="68"/>
      <c r="AI15" s="68"/>
      <c r="AJ15" s="68"/>
    </row>
    <row r="16" spans="1:36" ht="12.75" customHeight="1">
      <c r="A16" s="10"/>
      <c r="B16" s="48" t="s">
        <v>33</v>
      </c>
      <c r="C16" s="47">
        <v>3.2659257000000001E-3</v>
      </c>
      <c r="D16" s="47">
        <v>3.6826280999999999E-3</v>
      </c>
      <c r="E16" s="47">
        <v>4.053081E-3</v>
      </c>
      <c r="F16" s="45">
        <v>4.3842146000000002E-3</v>
      </c>
      <c r="G16" s="68"/>
      <c r="H16" s="47">
        <v>4.1878274E-3</v>
      </c>
      <c r="I16" s="47">
        <v>4.8840660000000003E-3</v>
      </c>
      <c r="J16" s="47">
        <v>5.5292598999999998E-3</v>
      </c>
      <c r="K16" s="47">
        <v>6.0912943999999998E-3</v>
      </c>
      <c r="L16" s="68"/>
      <c r="M16" s="47">
        <v>4.6994536000000003E-3</v>
      </c>
      <c r="N16" s="47">
        <v>5.5851351000000002E-3</v>
      </c>
      <c r="O16" s="47">
        <v>6.3986954000000004E-3</v>
      </c>
      <c r="P16" s="47">
        <v>7.0896144000000003E-3</v>
      </c>
      <c r="Q16" s="70"/>
      <c r="R16" s="47">
        <v>4.8128192000000004E-3</v>
      </c>
      <c r="S16" s="47">
        <v>5.8471214000000004E-3</v>
      </c>
      <c r="T16" s="47">
        <v>6.8027805000000002E-3</v>
      </c>
      <c r="U16" s="47">
        <v>7.6271522E-3</v>
      </c>
      <c r="V16" s="70"/>
      <c r="W16" s="47">
        <v>4.6088921000000003E-3</v>
      </c>
      <c r="X16" s="47">
        <v>5.7447699000000001E-3</v>
      </c>
      <c r="Y16" s="47">
        <v>6.8161187999999998E-3</v>
      </c>
      <c r="Z16" s="47">
        <v>7.7758502999999996E-3</v>
      </c>
      <c r="AA16" s="70"/>
      <c r="AB16" s="47">
        <v>4.2248805E-3</v>
      </c>
      <c r="AC16" s="47">
        <v>5.4200689E-3</v>
      </c>
      <c r="AD16" s="68"/>
      <c r="AE16" s="68"/>
      <c r="AF16" s="70"/>
      <c r="AG16" s="68"/>
      <c r="AH16" s="68"/>
      <c r="AI16" s="68"/>
      <c r="AJ16" s="68"/>
    </row>
    <row r="17" spans="1:36" ht="12.75" customHeight="1">
      <c r="A17" s="6"/>
      <c r="B17" s="48" t="s">
        <v>34</v>
      </c>
      <c r="C17" s="47">
        <v>1.9308113E-3</v>
      </c>
      <c r="D17" s="47">
        <v>2.343365E-3</v>
      </c>
      <c r="E17" s="47">
        <v>2.8649353E-3</v>
      </c>
      <c r="F17" s="45">
        <v>3.6925994000000001E-3</v>
      </c>
      <c r="G17" s="68"/>
      <c r="H17" s="47">
        <v>3.1146124999999998E-3</v>
      </c>
      <c r="I17" s="47">
        <v>3.8891110999999998E-3</v>
      </c>
      <c r="J17" s="47">
        <v>4.8927296000000004E-3</v>
      </c>
      <c r="K17" s="47">
        <v>6.4511632000000003E-3</v>
      </c>
      <c r="L17" s="68"/>
      <c r="M17" s="47">
        <v>4.3422944999999998E-3</v>
      </c>
      <c r="N17" s="47">
        <v>5.4758133999999997E-3</v>
      </c>
      <c r="O17" s="47">
        <v>6.8784225000000001E-3</v>
      </c>
      <c r="P17" s="47">
        <v>8.8181855000000007E-3</v>
      </c>
      <c r="Q17" s="70"/>
      <c r="R17" s="47">
        <v>5.4191978E-3</v>
      </c>
      <c r="S17" s="47">
        <v>6.8704656999999999E-3</v>
      </c>
      <c r="T17" s="47">
        <v>8.5736374000000004E-3</v>
      </c>
      <c r="U17" s="47">
        <v>1.0705531000000001E-2</v>
      </c>
      <c r="V17" s="70"/>
      <c r="W17" s="47">
        <v>6.2561275E-3</v>
      </c>
      <c r="X17" s="47">
        <v>7.9608782000000003E-3</v>
      </c>
      <c r="Y17" s="47">
        <v>9.8763732E-3</v>
      </c>
      <c r="Z17" s="47">
        <v>1.2108364E-2</v>
      </c>
      <c r="AA17" s="70"/>
      <c r="AB17" s="47">
        <v>6.8759611999999999E-3</v>
      </c>
      <c r="AC17" s="47">
        <v>8.7777814000000003E-3</v>
      </c>
      <c r="AD17" s="68"/>
      <c r="AE17" s="68"/>
      <c r="AF17" s="70"/>
      <c r="AG17" s="68"/>
      <c r="AH17" s="68"/>
      <c r="AI17" s="68"/>
      <c r="AJ17" s="68"/>
    </row>
    <row r="18" spans="1:36" ht="12.75" customHeight="1">
      <c r="A18" s="16" t="s">
        <v>55</v>
      </c>
      <c r="B18" s="17" t="s">
        <v>56</v>
      </c>
      <c r="C18" s="71">
        <f>SUM(C12:C17)</f>
        <v>1.4564120159999999E-2</v>
      </c>
      <c r="D18" s="71">
        <f>SUM(D12:D17)</f>
        <v>1.5121967050000001E-2</v>
      </c>
      <c r="E18" s="71">
        <f>SUM(E12:E17)</f>
        <v>1.5678580210000001E-2</v>
      </c>
      <c r="F18" s="71">
        <f>SUM(F12:F17)</f>
        <v>1.6338026750000002E-2</v>
      </c>
      <c r="G18" s="68"/>
      <c r="H18" s="71">
        <f>SUM(H12:H17)</f>
        <v>1.6270933000000001E-2</v>
      </c>
      <c r="I18" s="71">
        <f>SUM(I12:I17)</f>
        <v>1.7238127949999998E-2</v>
      </c>
      <c r="J18" s="71">
        <f>SUM(J12:J17)</f>
        <v>1.8254381489999999E-2</v>
      </c>
      <c r="K18" s="71">
        <f>SUM(K12:K17)</f>
        <v>1.9457546899999997E-2</v>
      </c>
      <c r="L18" s="68"/>
      <c r="M18" s="71">
        <f>SUM(M12:M17)</f>
        <v>1.7670094400000003E-2</v>
      </c>
      <c r="N18" s="71">
        <f>SUM(N12:N17)</f>
        <v>1.8947759799999998E-2</v>
      </c>
      <c r="O18" s="71">
        <f>SUM(O12:O17)</f>
        <v>2.0267515620000003E-2</v>
      </c>
      <c r="P18" s="71">
        <f>SUM(P12:P17)</f>
        <v>2.1728923599999998E-2</v>
      </c>
      <c r="Q18" s="70"/>
      <c r="R18" s="71">
        <f>SUM(R12:R17)</f>
        <v>1.8668594189999999E-2</v>
      </c>
      <c r="S18" s="71">
        <f>SUM(S12:S17)</f>
        <v>2.0193050050000001E-2</v>
      </c>
      <c r="T18" s="71">
        <f>SUM(T12:T17)</f>
        <v>2.173583875E-2</v>
      </c>
      <c r="U18" s="71">
        <f>SUM(U12:U17)</f>
        <v>2.3354707070000001E-2</v>
      </c>
      <c r="V18" s="70"/>
      <c r="W18" s="71">
        <f>SUM(W12:W17)</f>
        <v>1.9281160709999998E-2</v>
      </c>
      <c r="X18" s="71">
        <f>SUM(X12:X17)</f>
        <v>2.0979156200000001E-2</v>
      </c>
      <c r="Y18" s="71">
        <f>SUM(Y12:Y17)</f>
        <v>2.2675557149999997E-2</v>
      </c>
      <c r="Z18" s="71">
        <f>SUM(Z12:Z17)</f>
        <v>2.440173352E-2</v>
      </c>
      <c r="AA18" s="70"/>
      <c r="AB18" s="71">
        <f>SUM(AB12:AB17)</f>
        <v>1.9622038540000001E-2</v>
      </c>
      <c r="AC18" s="71">
        <f>SUM(AC12:AC17)</f>
        <v>2.143361278E-2</v>
      </c>
      <c r="AD18" s="71"/>
      <c r="AE18" s="71"/>
      <c r="AF18" s="70"/>
      <c r="AG18" s="71"/>
      <c r="AH18" s="71"/>
      <c r="AI18" s="71"/>
      <c r="AJ18" s="71"/>
    </row>
    <row r="19" spans="1:36" ht="12.75" customHeight="1">
      <c r="B19" s="8"/>
      <c r="C19" s="71"/>
      <c r="D19" s="71"/>
      <c r="E19" s="71"/>
      <c r="F19" s="71"/>
      <c r="G19" s="68"/>
      <c r="H19" s="71"/>
      <c r="I19" s="71"/>
      <c r="J19" s="71"/>
      <c r="K19" s="71"/>
      <c r="L19" s="68"/>
      <c r="M19" s="71"/>
      <c r="N19" s="71"/>
      <c r="O19" s="71"/>
      <c r="P19" s="71"/>
      <c r="Q19" s="70"/>
      <c r="R19" s="71"/>
      <c r="S19" s="71"/>
      <c r="T19" s="71"/>
      <c r="U19" s="71"/>
      <c r="V19" s="70"/>
      <c r="W19" s="71"/>
      <c r="X19" s="71"/>
      <c r="Y19" s="71"/>
      <c r="Z19" s="71"/>
      <c r="AA19" s="70"/>
      <c r="AB19" s="71"/>
      <c r="AC19" s="71"/>
      <c r="AD19" s="71"/>
      <c r="AE19" s="71"/>
      <c r="AF19" s="70"/>
      <c r="AG19" s="68"/>
      <c r="AH19" s="71"/>
      <c r="AI19" s="71"/>
      <c r="AJ19" s="71"/>
    </row>
    <row r="20" spans="1:36" ht="12.75" customHeight="1">
      <c r="A20" s="5" t="s">
        <v>26</v>
      </c>
      <c r="B20" t="s">
        <v>57</v>
      </c>
      <c r="C20" s="20">
        <v>7.22674E-7</v>
      </c>
      <c r="D20" s="46">
        <v>7.7995099999999997E-7</v>
      </c>
      <c r="E20" s="46">
        <v>8.1599800000000005E-7</v>
      </c>
      <c r="F20" s="46">
        <v>7.8705300000000003E-7</v>
      </c>
      <c r="G20" s="68"/>
      <c r="H20" s="20">
        <v>9.7369399999999993E-7</v>
      </c>
      <c r="I20" s="46">
        <v>1.10358E-6</v>
      </c>
      <c r="J20" s="46">
        <v>1.1620000000000001E-6</v>
      </c>
      <c r="K20" s="46">
        <v>1.0648200000000001E-6</v>
      </c>
      <c r="L20" s="68"/>
      <c r="M20" s="46">
        <v>1.46662E-6</v>
      </c>
      <c r="N20" s="46">
        <v>1.359E-6</v>
      </c>
      <c r="O20" s="46">
        <v>1.2202E-6</v>
      </c>
      <c r="P20" s="46">
        <v>1.02949E-6</v>
      </c>
      <c r="Q20" s="70"/>
      <c r="R20" s="46">
        <v>3.5163399999999999E-6</v>
      </c>
      <c r="S20" s="46">
        <v>3.4337400000000001E-6</v>
      </c>
      <c r="T20" s="46">
        <v>3.2147400000000002E-6</v>
      </c>
      <c r="U20" s="46">
        <v>2.6802199999999999E-6</v>
      </c>
      <c r="V20" s="70"/>
      <c r="W20" s="46">
        <v>3.6573000000000001E-6</v>
      </c>
      <c r="X20" s="46">
        <v>4.8822800000000001E-6</v>
      </c>
      <c r="Y20" s="46">
        <v>6.0558200000000002E-6</v>
      </c>
      <c r="Z20" s="46">
        <v>5.2805599999999996E-6</v>
      </c>
      <c r="AA20" s="70"/>
      <c r="AB20" s="46">
        <v>3.1482100000000001E-6</v>
      </c>
      <c r="AC20" s="46">
        <v>3.9849499999999999E-6</v>
      </c>
      <c r="AD20" s="68"/>
      <c r="AE20" s="68"/>
      <c r="AF20" s="70"/>
      <c r="AG20" s="68"/>
      <c r="AH20" s="68"/>
      <c r="AI20" s="68"/>
      <c r="AJ20" s="68"/>
    </row>
    <row r="21" spans="1:36" ht="12.75" customHeight="1">
      <c r="A21" s="6"/>
      <c r="B21" s="47" t="s">
        <v>36</v>
      </c>
      <c r="C21" s="70"/>
      <c r="D21" s="70"/>
      <c r="E21" s="70"/>
      <c r="F21" s="70"/>
      <c r="G21" s="68"/>
      <c r="H21" s="70"/>
      <c r="I21" s="70"/>
      <c r="J21" s="70"/>
      <c r="K21" s="70"/>
      <c r="L21" s="68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</row>
    <row r="22" spans="1:36" ht="12.75" customHeight="1">
      <c r="A22" s="6" t="s">
        <v>28</v>
      </c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</row>
    <row r="23" spans="1:36" ht="12.75" customHeight="1">
      <c r="A23" s="6"/>
      <c r="B23" t="s">
        <v>58</v>
      </c>
      <c r="C23" s="20">
        <v>1.6494400000000001E-6</v>
      </c>
      <c r="D23" s="46">
        <v>1.6569599999999999E-6</v>
      </c>
      <c r="E23" s="46">
        <v>1.59985E-6</v>
      </c>
      <c r="F23" s="46">
        <v>1.4302300000000001E-6</v>
      </c>
      <c r="G23" s="70"/>
      <c r="H23" s="20">
        <v>2.1039599999999998E-6</v>
      </c>
      <c r="I23" s="46">
        <v>2.0840100000000001E-6</v>
      </c>
      <c r="J23" s="46">
        <v>1.9595800000000001E-6</v>
      </c>
      <c r="K23" s="46">
        <v>1.64386E-6</v>
      </c>
      <c r="L23" s="70"/>
      <c r="M23" s="46">
        <v>2.4633900000000001E-6</v>
      </c>
      <c r="N23" s="46">
        <v>2.3606899999999998E-6</v>
      </c>
      <c r="O23" s="46">
        <v>2.1241600000000001E-6</v>
      </c>
      <c r="P23" s="46">
        <v>1.6855899999999999E-6</v>
      </c>
      <c r="Q23" s="70"/>
      <c r="R23" s="46">
        <v>2.77087E-6</v>
      </c>
      <c r="S23" s="46">
        <v>2.5719899999999998E-6</v>
      </c>
      <c r="T23" s="46">
        <v>2.2273400000000001E-6</v>
      </c>
      <c r="U23" s="46">
        <v>1.6993800000000001E-6</v>
      </c>
      <c r="V23" s="70"/>
      <c r="W23" s="46">
        <v>3.05672E-6</v>
      </c>
      <c r="X23" s="46">
        <v>2.76309E-6</v>
      </c>
      <c r="Y23" s="46">
        <v>2.8195800000000002E-7</v>
      </c>
      <c r="Z23" s="46">
        <v>1.7183900000000001E-6</v>
      </c>
      <c r="AA23" s="70"/>
      <c r="AB23" s="46">
        <v>3.3322200000000002E-6</v>
      </c>
      <c r="AC23" s="46">
        <v>2.9525699999999999E-6</v>
      </c>
      <c r="AD23" s="68"/>
      <c r="AE23" s="68"/>
      <c r="AF23" s="70"/>
      <c r="AG23" s="68"/>
      <c r="AH23" s="68"/>
      <c r="AI23" s="68"/>
      <c r="AJ23" s="68"/>
    </row>
    <row r="24" spans="1:36" ht="12.75" customHeight="1">
      <c r="A24" s="6" t="s">
        <v>38</v>
      </c>
      <c r="B24" s="47" t="s">
        <v>39</v>
      </c>
      <c r="C24" s="72"/>
      <c r="D24" s="70"/>
      <c r="E24" s="70"/>
      <c r="F24" s="70"/>
      <c r="G24" s="70"/>
      <c r="H24" s="72"/>
      <c r="I24" s="70"/>
      <c r="J24" s="70"/>
      <c r="K24" s="70"/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</row>
    <row r="25" spans="1:36" ht="12.75" customHeight="1">
      <c r="A25" s="6"/>
      <c r="C25" s="72"/>
      <c r="D25" s="70"/>
      <c r="E25" s="70"/>
      <c r="F25" s="70"/>
      <c r="G25" s="70"/>
      <c r="H25" s="72"/>
      <c r="I25" s="70"/>
      <c r="J25" s="70"/>
      <c r="K25" s="70"/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</row>
    <row r="26" spans="1:36" ht="12.75" customHeight="1">
      <c r="A26" s="6"/>
      <c r="B26" t="s">
        <v>59</v>
      </c>
      <c r="C26" s="20">
        <v>1.55939E-6</v>
      </c>
      <c r="D26" s="46">
        <v>1.78103E-6</v>
      </c>
      <c r="E26" s="46">
        <v>2.0232899999999999E-6</v>
      </c>
      <c r="F26" s="46">
        <v>2.38196E-6</v>
      </c>
      <c r="G26" s="70"/>
      <c r="H26" s="20">
        <v>2.1617699999999998E-6</v>
      </c>
      <c r="I26" s="46">
        <v>2.5154800000000002E-6</v>
      </c>
      <c r="J26" s="46">
        <v>2.9651900000000002E-6</v>
      </c>
      <c r="K26" s="46">
        <v>3.6639600000000002E-6</v>
      </c>
      <c r="L26" s="70"/>
      <c r="M26" s="46">
        <v>2.36843E-6</v>
      </c>
      <c r="N26" s="46">
        <v>3.1148799999999999E-6</v>
      </c>
      <c r="O26" s="46">
        <v>3.9135599999999998E-6</v>
      </c>
      <c r="P26" s="46">
        <v>4.8349699999999999E-6</v>
      </c>
      <c r="Q26" s="70"/>
      <c r="R26" s="46">
        <v>8.1796100000000003E-7</v>
      </c>
      <c r="S26" s="46">
        <v>1.6627800000000001E-6</v>
      </c>
      <c r="T26" s="46">
        <v>2.6531699999999999E-6</v>
      </c>
      <c r="U26" s="46">
        <v>3.9971299999999998E-6</v>
      </c>
      <c r="V26" s="70"/>
      <c r="W26" s="46">
        <v>9.83278E-7</v>
      </c>
      <c r="X26" s="46">
        <v>6.0730200000000005E-7</v>
      </c>
      <c r="Y26" s="46">
        <v>2.3208400000000001E-6</v>
      </c>
      <c r="Z26" s="46">
        <v>1.9203000000000001E-6</v>
      </c>
      <c r="AA26" s="70"/>
      <c r="AB26" s="46">
        <v>1.6628100000000001E-6</v>
      </c>
      <c r="AC26" s="46">
        <v>1.7318600000000001E-6</v>
      </c>
      <c r="AD26" s="68"/>
      <c r="AE26" s="68"/>
      <c r="AF26" s="70"/>
      <c r="AG26" s="68"/>
      <c r="AH26" s="68"/>
      <c r="AI26" s="68"/>
      <c r="AJ26" s="68"/>
    </row>
    <row r="27" spans="1:36" ht="12.75" customHeight="1">
      <c r="A27" s="6" t="s">
        <v>41</v>
      </c>
      <c r="B27" s="47" t="s">
        <v>42</v>
      </c>
    </row>
    <row r="28" spans="1:36" ht="12.75" customHeight="1">
      <c r="A28" s="10"/>
    </row>
    <row r="29" spans="1:36" ht="12.75" customHeight="1">
      <c r="A29" s="6">
        <v>1</v>
      </c>
      <c r="B29" s="48" t="s">
        <v>43</v>
      </c>
      <c r="C29" s="47">
        <v>45.641199999999998</v>
      </c>
      <c r="D29" s="47">
        <v>42.683100000000003</v>
      </c>
      <c r="E29" s="47">
        <v>40.561300000000003</v>
      </c>
      <c r="F29" s="47">
        <v>39.612699999999997</v>
      </c>
      <c r="H29" s="47">
        <v>62.709299999999999</v>
      </c>
      <c r="I29" s="47">
        <v>60.317700000000002</v>
      </c>
      <c r="J29" s="47">
        <v>58.959899999999998</v>
      </c>
      <c r="K29" s="47">
        <v>59.109699999999997</v>
      </c>
      <c r="M29" s="47">
        <v>76.700900000000004</v>
      </c>
      <c r="N29" s="47">
        <v>74.564700000000002</v>
      </c>
      <c r="O29" s="47">
        <v>73.339399999999998</v>
      </c>
      <c r="P29" s="47">
        <v>73.305800000000005</v>
      </c>
      <c r="R29" s="47">
        <v>86.685900000000004</v>
      </c>
      <c r="S29" s="47">
        <v>84.942099999999996</v>
      </c>
      <c r="T29" s="47">
        <v>83.827399999999997</v>
      </c>
      <c r="U29" s="47">
        <v>83.466899999999995</v>
      </c>
      <c r="W29" s="47">
        <v>92.811599999999999</v>
      </c>
      <c r="X29" s="47">
        <v>91.492999999999995</v>
      </c>
      <c r="Y29" s="47">
        <v>90.539699999999996</v>
      </c>
      <c r="Z29" s="47">
        <v>90.010800000000003</v>
      </c>
      <c r="AB29" s="47">
        <v>96.220399999999998</v>
      </c>
      <c r="AC29" s="47">
        <v>95.280100000000004</v>
      </c>
      <c r="AD29" s="47"/>
      <c r="AE29" s="47"/>
      <c r="AG29" s="47"/>
      <c r="AH29" s="47"/>
      <c r="AI29" s="47"/>
      <c r="AJ29" s="47"/>
    </row>
    <row r="30" spans="1:36" ht="12.75" customHeight="1">
      <c r="A30" s="11"/>
      <c r="B30" s="48" t="s">
        <v>44</v>
      </c>
      <c r="C30" s="47">
        <v>32.988900000000001</v>
      </c>
      <c r="D30" s="47">
        <v>41.423900000000003</v>
      </c>
      <c r="E30" s="47">
        <v>53.328499999999998</v>
      </c>
      <c r="F30" s="47">
        <v>71.511300000000006</v>
      </c>
      <c r="H30" s="47">
        <v>42.0792</v>
      </c>
      <c r="I30" s="47">
        <v>52.1004</v>
      </c>
      <c r="J30" s="47">
        <v>65.319400000000002</v>
      </c>
      <c r="K30" s="47">
        <v>82.193100000000001</v>
      </c>
      <c r="M30" s="47">
        <v>49.267899999999997</v>
      </c>
      <c r="N30" s="47">
        <v>59.017299999999999</v>
      </c>
      <c r="O30" s="47">
        <v>70.805199999999999</v>
      </c>
      <c r="P30" s="47">
        <v>84.279300000000006</v>
      </c>
      <c r="R30" s="47">
        <v>55.417499999999997</v>
      </c>
      <c r="S30" s="47">
        <v>64.299700000000001</v>
      </c>
      <c r="T30" s="47">
        <v>74.244699999999995</v>
      </c>
      <c r="U30" s="47">
        <v>84.968800000000002</v>
      </c>
      <c r="W30" s="47">
        <v>61.134399999999999</v>
      </c>
      <c r="X30" s="47">
        <v>69.077100000000002</v>
      </c>
      <c r="Y30" s="47">
        <v>77.361400000000003</v>
      </c>
      <c r="Z30" s="47">
        <v>85.919300000000007</v>
      </c>
      <c r="AB30" s="47">
        <v>66.644300000000001</v>
      </c>
      <c r="AC30" s="47">
        <v>73.8142</v>
      </c>
      <c r="AD30" s="47"/>
      <c r="AE30" s="47"/>
      <c r="AG30" s="47"/>
      <c r="AH30" s="47"/>
      <c r="AI30" s="47"/>
      <c r="AJ30" s="47"/>
    </row>
    <row r="31" spans="1:36" ht="12.75" customHeight="1">
      <c r="B31" s="48" t="s">
        <v>45</v>
      </c>
      <c r="C31">
        <f>C26/(C20+C26)</f>
        <v>0.68332439405730949</v>
      </c>
      <c r="D31">
        <f>D26/(D20+D26)</f>
        <v>0.69544834577062464</v>
      </c>
      <c r="E31">
        <f>E26/(E20+E26)</f>
        <v>0.71260470934966802</v>
      </c>
      <c r="F31">
        <f>F26/(F20+F26)</f>
        <v>0.75164096833935357</v>
      </c>
      <c r="H31">
        <f>H26/(H20+H26)</f>
        <v>0.68945776446484475</v>
      </c>
      <c r="I31">
        <f>I26/(I20+I26)</f>
        <v>0.69506446425314861</v>
      </c>
      <c r="J31">
        <f>J26/(J20+J26)</f>
        <v>0.71845250642689096</v>
      </c>
      <c r="K31">
        <f>K26/(K20+K26)</f>
        <v>0.77482141271110105</v>
      </c>
      <c r="M31">
        <f>M26/(M20+M26)</f>
        <v>0.61757473826938381</v>
      </c>
      <c r="N31">
        <f>N26/(N20+N26)</f>
        <v>0.69623682351784133</v>
      </c>
      <c r="O31">
        <f>O26/(O20+O26)</f>
        <v>0.76231845664775921</v>
      </c>
      <c r="P31">
        <f>P26/(P20+P26)</f>
        <v>0.82445272028456151</v>
      </c>
      <c r="R31">
        <f>R26/(R20+R26)</f>
        <v>0.18871808856837588</v>
      </c>
      <c r="S31">
        <f>S26/(S20+S26)</f>
        <v>0.32625791716700808</v>
      </c>
      <c r="T31">
        <f>T26/(T20+T26)</f>
        <v>0.45214906159092416</v>
      </c>
      <c r="U31">
        <f>U26/(U20+U26)</f>
        <v>0.59861022711105449</v>
      </c>
      <c r="W31">
        <f>W26/(W20+W26)</f>
        <v>0.21188696752861388</v>
      </c>
      <c r="X31">
        <f>X26/(X20+X26)</f>
        <v>0.11062809518101743</v>
      </c>
      <c r="Y31">
        <f>Y26/(Y20+Y26)</f>
        <v>0.27706030804640508</v>
      </c>
      <c r="Z31">
        <f>Z26/(Z20+Z26)</f>
        <v>0.26667648030929642</v>
      </c>
      <c r="AB31">
        <f>AB26/(AB20+AB26)</f>
        <v>0.34562525202555799</v>
      </c>
      <c r="AC31">
        <f>AC26/(AC20+AC26)</f>
        <v>0.30294167551484136</v>
      </c>
    </row>
    <row r="32" spans="1:36" ht="12.75" customHeight="1">
      <c r="B32" s="48" t="s">
        <v>46</v>
      </c>
      <c r="C32">
        <f>C17/C14</f>
        <v>2.9009578694076583</v>
      </c>
      <c r="D32">
        <f>D17/D14</f>
        <v>4.3775649155927541</v>
      </c>
      <c r="E32">
        <f>E17/E14</f>
        <v>7.4209065672258276</v>
      </c>
      <c r="F32">
        <f>F17/F14</f>
        <v>17.17292641158469</v>
      </c>
      <c r="H32">
        <f>H17/H14</f>
        <v>2.9617889300706426</v>
      </c>
      <c r="I32">
        <f>I17/I14</f>
        <v>4.74853721698614</v>
      </c>
      <c r="J32">
        <f>J17/J14</f>
        <v>8.77598738498234</v>
      </c>
      <c r="K32">
        <f>K17/K14</f>
        <v>22.930008444185859</v>
      </c>
      <c r="M32">
        <f>M17/M14</f>
        <v>2.7156540899091963</v>
      </c>
      <c r="N32">
        <f>N17/N14</f>
        <v>4.3826299156699156</v>
      </c>
      <c r="O32">
        <f>O17/O14</f>
        <v>8.0054492602019138</v>
      </c>
      <c r="P32">
        <f>P17/P14</f>
        <v>19.151962302920072</v>
      </c>
      <c r="R32">
        <f>R17/R14</f>
        <v>2.3640340893574887</v>
      </c>
      <c r="S32">
        <f>S17/S14</f>
        <v>3.7720979859844488</v>
      </c>
      <c r="T32">
        <f>T17/T14</f>
        <v>6.633484995418879</v>
      </c>
      <c r="U32">
        <f>U17/U14</f>
        <v>14.282077572741965</v>
      </c>
      <c r="W32">
        <f>W17/W14</f>
        <v>2.0256794646461054</v>
      </c>
      <c r="X32">
        <f>X17/X14</f>
        <v>3.1743280218382437</v>
      </c>
      <c r="Y32">
        <f>Y17/Y14</f>
        <v>5.3603020803601362</v>
      </c>
      <c r="Z32">
        <f>Z17/Z14</f>
        <v>10.589773531889408</v>
      </c>
      <c r="AB32">
        <f>AB17/AB14</f>
        <v>1.7548083960960754</v>
      </c>
      <c r="AC32">
        <f>AC17/AC14</f>
        <v>2.7014326751620192</v>
      </c>
    </row>
    <row r="33" spans="6:6" ht="12.75" customHeight="1"/>
    <row r="34" spans="6:6" ht="12.75" customHeight="1">
      <c r="F34" s="33"/>
    </row>
    <row r="35" spans="6:6" ht="12.75" customHeight="1">
      <c r="F35" s="33"/>
    </row>
    <row r="36" spans="6:6" ht="12.75" customHeight="1"/>
    <row r="37" spans="6:6" ht="12.75" customHeight="1"/>
    <row r="38" spans="6:6" ht="12.75" customHeight="1"/>
  </sheetData>
  <pageMargins left="0.39374999999999999" right="0.39374999999999999" top="0.78749999999999998" bottom="0.78749999999999998" header="0.511811023622047" footer="0.511811023622047"/>
  <pageSetup paperSize="9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L37"/>
  <sheetViews>
    <sheetView zoomScale="83" zoomScaleNormal="83" workbookViewId="0">
      <selection activeCell="J18" sqref="J18"/>
    </sheetView>
  </sheetViews>
  <sheetFormatPr defaultColWidth="11.54296875" defaultRowHeight="12.5"/>
  <cols>
    <col min="1" max="1" width="6.54296875" style="85" customWidth="1"/>
    <col min="2" max="2" width="30.7265625" style="85" customWidth="1"/>
    <col min="3" max="6" width="12.7265625" style="85" customWidth="1"/>
    <col min="7" max="7" width="2" style="85" customWidth="1"/>
    <col min="8" max="11" width="12.7265625" style="85" customWidth="1"/>
    <col min="12" max="12" width="2" style="85" customWidth="1"/>
    <col min="13" max="16" width="12.7265625" style="85" customWidth="1"/>
    <col min="17" max="17" width="2" style="85" customWidth="1"/>
    <col min="18" max="21" width="12.7265625" style="85" customWidth="1"/>
    <col min="22" max="22" width="2" style="85" customWidth="1"/>
    <col min="23" max="26" width="12.7265625" style="85" customWidth="1"/>
    <col min="27" max="27" width="2" style="85" customWidth="1"/>
    <col min="28" max="31" width="12.7265625" style="85" customWidth="1"/>
    <col min="32" max="32" width="2" style="85" customWidth="1"/>
    <col min="33" max="36" width="12.7265625" style="85" customWidth="1"/>
  </cols>
  <sheetData>
    <row r="1" spans="1:36" ht="12.75" customHeight="1"/>
    <row r="2" spans="1:36" ht="12.75" customHeight="1">
      <c r="A2" s="5"/>
      <c r="B2" s="48" t="s">
        <v>47</v>
      </c>
      <c r="C2" s="35" t="s">
        <v>6</v>
      </c>
      <c r="D2" s="35" t="s">
        <v>6</v>
      </c>
      <c r="E2" s="35" t="s">
        <v>6</v>
      </c>
      <c r="F2" s="35" t="s">
        <v>6</v>
      </c>
      <c r="G2" s="49"/>
      <c r="H2" s="35" t="s">
        <v>48</v>
      </c>
      <c r="I2" s="35" t="s">
        <v>48</v>
      </c>
      <c r="J2" s="35" t="s">
        <v>48</v>
      </c>
      <c r="K2" s="35" t="s">
        <v>48</v>
      </c>
      <c r="L2" s="49"/>
      <c r="M2" s="35" t="s">
        <v>8</v>
      </c>
      <c r="N2" s="35" t="s">
        <v>8</v>
      </c>
      <c r="O2" s="35" t="s">
        <v>8</v>
      </c>
      <c r="P2" s="35" t="s">
        <v>8</v>
      </c>
      <c r="R2" s="35" t="s">
        <v>9</v>
      </c>
      <c r="S2" s="35" t="s">
        <v>9</v>
      </c>
      <c r="T2" s="35" t="s">
        <v>9</v>
      </c>
      <c r="U2" s="35" t="s">
        <v>9</v>
      </c>
      <c r="W2" s="35" t="s">
        <v>10</v>
      </c>
      <c r="X2" s="35" t="s">
        <v>10</v>
      </c>
      <c r="Y2" s="35" t="s">
        <v>10</v>
      </c>
      <c r="Z2" s="35" t="s">
        <v>10</v>
      </c>
      <c r="AB2" s="35" t="s">
        <v>11</v>
      </c>
      <c r="AC2" s="35"/>
      <c r="AD2" s="35"/>
      <c r="AE2" s="35"/>
      <c r="AG2" s="35"/>
      <c r="AH2" s="35"/>
      <c r="AI2" s="35"/>
      <c r="AJ2" s="35"/>
    </row>
    <row r="3" spans="1:36" ht="12.75" customHeight="1">
      <c r="A3" s="6" t="s">
        <v>38</v>
      </c>
      <c r="B3" s="48" t="s">
        <v>49</v>
      </c>
      <c r="C3">
        <v>1013250</v>
      </c>
      <c r="D3">
        <v>1013250</v>
      </c>
      <c r="E3">
        <v>1013250</v>
      </c>
      <c r="F3">
        <v>1013250</v>
      </c>
      <c r="H3">
        <v>1013250</v>
      </c>
      <c r="I3">
        <v>1013250</v>
      </c>
      <c r="J3">
        <v>1013250</v>
      </c>
      <c r="K3">
        <v>1013250</v>
      </c>
      <c r="M3">
        <v>1013250</v>
      </c>
      <c r="N3">
        <v>1013250</v>
      </c>
      <c r="O3">
        <v>1013250</v>
      </c>
      <c r="P3">
        <v>1013250</v>
      </c>
      <c r="R3">
        <v>1013250</v>
      </c>
      <c r="S3">
        <v>1013250</v>
      </c>
      <c r="T3">
        <v>1013250</v>
      </c>
      <c r="U3">
        <v>1013250</v>
      </c>
      <c r="W3">
        <v>1013250</v>
      </c>
      <c r="X3">
        <v>1013250</v>
      </c>
      <c r="Y3">
        <v>1013250</v>
      </c>
      <c r="Z3">
        <v>1013250</v>
      </c>
      <c r="AB3">
        <v>1013250</v>
      </c>
    </row>
    <row r="4" spans="1:36" ht="12.75" customHeight="1">
      <c r="A4" s="6" t="s">
        <v>50</v>
      </c>
      <c r="B4" s="48" t="s">
        <v>51</v>
      </c>
      <c r="C4">
        <v>0.01</v>
      </c>
      <c r="D4">
        <v>0.01</v>
      </c>
      <c r="E4">
        <v>0.01</v>
      </c>
      <c r="F4">
        <v>0.01</v>
      </c>
      <c r="H4">
        <v>0.01</v>
      </c>
      <c r="I4">
        <v>0.01</v>
      </c>
      <c r="J4">
        <v>0.01</v>
      </c>
      <c r="K4">
        <v>0.01</v>
      </c>
      <c r="M4">
        <v>0.01</v>
      </c>
      <c r="N4">
        <v>0.01</v>
      </c>
      <c r="O4">
        <v>0.01</v>
      </c>
      <c r="P4">
        <v>0.01</v>
      </c>
      <c r="R4">
        <v>0.01</v>
      </c>
      <c r="S4">
        <v>0.01</v>
      </c>
      <c r="T4">
        <v>0.01</v>
      </c>
      <c r="U4">
        <v>0.01</v>
      </c>
      <c r="W4">
        <v>0.01</v>
      </c>
      <c r="X4">
        <v>0.01</v>
      </c>
      <c r="Y4">
        <v>0.01</v>
      </c>
      <c r="Z4">
        <v>0.01</v>
      </c>
      <c r="AB4">
        <v>0.01</v>
      </c>
    </row>
    <row r="5" spans="1:36" ht="12.75" customHeight="1">
      <c r="A5" s="6" t="s">
        <v>50</v>
      </c>
    </row>
    <row r="6" spans="1:36" ht="12.75" customHeight="1">
      <c r="A6" s="6" t="s">
        <v>32</v>
      </c>
      <c r="B6" s="13" t="s">
        <v>52</v>
      </c>
    </row>
    <row r="7" spans="1:36" ht="12.75" customHeight="1">
      <c r="A7" s="6"/>
      <c r="B7" s="48" t="s">
        <v>20</v>
      </c>
      <c r="C7">
        <v>1</v>
      </c>
      <c r="D7">
        <v>1</v>
      </c>
      <c r="E7">
        <v>1</v>
      </c>
      <c r="F7">
        <v>1</v>
      </c>
      <c r="H7">
        <v>1</v>
      </c>
      <c r="I7">
        <v>1</v>
      </c>
      <c r="J7">
        <v>1</v>
      </c>
      <c r="K7">
        <v>1</v>
      </c>
      <c r="M7">
        <v>1</v>
      </c>
      <c r="N7">
        <v>1</v>
      </c>
      <c r="O7">
        <v>1</v>
      </c>
      <c r="P7">
        <v>1</v>
      </c>
      <c r="R7">
        <v>1</v>
      </c>
      <c r="S7">
        <v>1</v>
      </c>
      <c r="T7">
        <v>1</v>
      </c>
      <c r="U7">
        <v>1</v>
      </c>
      <c r="W7">
        <v>1</v>
      </c>
      <c r="X7">
        <v>1</v>
      </c>
      <c r="Y7">
        <v>1</v>
      </c>
      <c r="Z7">
        <v>1</v>
      </c>
      <c r="AB7">
        <v>1</v>
      </c>
    </row>
    <row r="8" spans="1:36" ht="12.75" customHeight="1">
      <c r="A8" s="14" t="s">
        <v>53</v>
      </c>
      <c r="B8" s="48" t="s">
        <v>21</v>
      </c>
      <c r="C8">
        <f>C7/(1+C7)</f>
        <v>0.5</v>
      </c>
      <c r="D8">
        <v>0.6</v>
      </c>
      <c r="E8">
        <v>0.7</v>
      </c>
      <c r="F8">
        <v>0.8</v>
      </c>
      <c r="H8">
        <f>H7/(1+H7)</f>
        <v>0.5</v>
      </c>
      <c r="I8">
        <v>0.6</v>
      </c>
      <c r="J8">
        <v>0.7</v>
      </c>
      <c r="K8">
        <v>0.8</v>
      </c>
      <c r="M8">
        <f>M7/(1+M7)</f>
        <v>0.5</v>
      </c>
      <c r="N8">
        <v>0.6</v>
      </c>
      <c r="O8">
        <v>0.7</v>
      </c>
      <c r="P8">
        <v>0.8</v>
      </c>
      <c r="R8">
        <f>R7/(1+R7)</f>
        <v>0.5</v>
      </c>
      <c r="S8">
        <v>0.6</v>
      </c>
      <c r="T8">
        <v>0.7</v>
      </c>
      <c r="U8">
        <v>0.8</v>
      </c>
      <c r="W8">
        <f>W7/(1+W7)</f>
        <v>0.5</v>
      </c>
      <c r="X8">
        <v>0.6</v>
      </c>
      <c r="Y8">
        <v>0.7</v>
      </c>
      <c r="Z8">
        <v>0.8</v>
      </c>
      <c r="AB8">
        <f>AB7/(1+AB7)</f>
        <v>0.5</v>
      </c>
    </row>
    <row r="9" spans="1:36" ht="12.75" customHeight="1">
      <c r="A9" s="7"/>
      <c r="B9" s="48" t="s">
        <v>22</v>
      </c>
      <c r="C9">
        <f>1/(1+C7)</f>
        <v>0.5</v>
      </c>
      <c r="D9">
        <v>0.4</v>
      </c>
      <c r="E9">
        <v>0.3</v>
      </c>
      <c r="F9">
        <v>0.2</v>
      </c>
      <c r="H9">
        <f>1/(1+H7)</f>
        <v>0.5</v>
      </c>
      <c r="I9">
        <v>0.4</v>
      </c>
      <c r="J9">
        <v>0.3</v>
      </c>
      <c r="K9">
        <v>0.2</v>
      </c>
      <c r="M9">
        <f>1/(1+M7)</f>
        <v>0.5</v>
      </c>
      <c r="N9">
        <v>0.4</v>
      </c>
      <c r="O9">
        <v>0.3</v>
      </c>
      <c r="P9">
        <v>0.2</v>
      </c>
      <c r="R9">
        <f>1/(1+R7)</f>
        <v>0.5</v>
      </c>
      <c r="S9">
        <v>0.4</v>
      </c>
      <c r="T9">
        <v>0.3</v>
      </c>
      <c r="U9">
        <v>0.2</v>
      </c>
      <c r="W9">
        <f>1/(1+W7)</f>
        <v>0.5</v>
      </c>
      <c r="X9">
        <v>0.4</v>
      </c>
      <c r="Y9">
        <v>0.3</v>
      </c>
      <c r="Z9">
        <v>0.2</v>
      </c>
      <c r="AB9">
        <f>1/(1+AB7)</f>
        <v>0.5</v>
      </c>
    </row>
    <row r="10" spans="1:36" ht="12.75" customHeight="1"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R10" s="49"/>
      <c r="S10" s="49"/>
      <c r="T10" s="49"/>
      <c r="U10" s="49"/>
      <c r="W10" s="49"/>
      <c r="X10" s="49"/>
      <c r="Y10" s="49"/>
      <c r="Z10" s="49"/>
      <c r="AB10" s="49"/>
      <c r="AC10" s="49"/>
      <c r="AD10" s="49"/>
      <c r="AE10" s="49"/>
      <c r="AG10" s="49"/>
      <c r="AH10" s="49"/>
      <c r="AI10" s="49"/>
      <c r="AJ10" s="49"/>
    </row>
    <row r="11" spans="1:36" ht="12.75" customHeight="1">
      <c r="A11" s="15"/>
      <c r="B11" s="13" t="s">
        <v>54</v>
      </c>
      <c r="C11" s="35"/>
      <c r="D11" s="35"/>
      <c r="E11" s="35"/>
      <c r="F11" s="35"/>
      <c r="G11" s="49"/>
      <c r="H11" s="35"/>
      <c r="I11" s="35"/>
      <c r="J11" s="35"/>
      <c r="K11" s="35"/>
      <c r="L11" s="49"/>
      <c r="M11" s="35"/>
      <c r="N11" s="35"/>
      <c r="O11" s="35"/>
      <c r="P11" s="35"/>
      <c r="R11" s="35"/>
      <c r="S11" s="35"/>
      <c r="T11" s="35"/>
      <c r="U11" s="35"/>
      <c r="W11" s="35"/>
      <c r="X11" s="35"/>
      <c r="Y11" s="35"/>
      <c r="Z11" s="35"/>
      <c r="AB11" s="35"/>
      <c r="AC11" s="35"/>
      <c r="AD11" s="35"/>
      <c r="AE11" s="35"/>
      <c r="AG11" s="35"/>
      <c r="AH11" s="35"/>
      <c r="AI11" s="35"/>
      <c r="AJ11" s="35"/>
    </row>
    <row r="12" spans="1:36" ht="12.75" customHeight="1">
      <c r="A12" s="6" t="s">
        <v>26</v>
      </c>
      <c r="B12" s="48" t="s">
        <v>25</v>
      </c>
      <c r="C12" s="47">
        <v>3.2980510000000002E-3</v>
      </c>
      <c r="D12" s="47">
        <v>4.1230937000000002E-3</v>
      </c>
      <c r="E12" s="47">
        <v>4.9548018000000003E-3</v>
      </c>
      <c r="F12" s="47">
        <v>5.7643534999999996E-3</v>
      </c>
      <c r="G12" s="68"/>
      <c r="H12" s="47">
        <v>2.5318874000000002E-3</v>
      </c>
      <c r="I12" s="47">
        <v>3.1911722E-3</v>
      </c>
      <c r="J12" s="47">
        <v>3.8360082999999998E-3</v>
      </c>
      <c r="K12" s="47">
        <v>4.4046932000000004E-3</v>
      </c>
      <c r="L12" s="68"/>
      <c r="M12" s="47">
        <v>1.8053035E-3</v>
      </c>
      <c r="N12" s="47">
        <v>2.3208784999999999E-3</v>
      </c>
      <c r="O12" s="47">
        <v>2.8130870000000001E-3</v>
      </c>
      <c r="P12" s="47">
        <v>3.2138760000000001E-3</v>
      </c>
      <c r="Q12" s="70"/>
      <c r="R12" s="47">
        <v>1.1772839E-3</v>
      </c>
      <c r="S12" s="47">
        <v>1.5547355E-3</v>
      </c>
      <c r="T12" s="47">
        <v>1.9128323E-3</v>
      </c>
      <c r="U12" s="47">
        <v>2.2007007000000001E-3</v>
      </c>
      <c r="V12" s="70"/>
      <c r="W12" s="47">
        <v>7.1376426000000002E-4</v>
      </c>
      <c r="X12" s="47">
        <v>9.7668100000000008E-4</v>
      </c>
      <c r="Y12" s="47">
        <v>1.2308835000000001E-3</v>
      </c>
      <c r="Z12" s="47">
        <v>1.444505E-3</v>
      </c>
      <c r="AA12" s="70"/>
      <c r="AB12" s="21">
        <v>4.1216620000000001E-4</v>
      </c>
      <c r="AC12" s="73"/>
      <c r="AD12" s="73"/>
      <c r="AE12" s="73"/>
      <c r="AF12" s="70"/>
      <c r="AG12" s="22"/>
      <c r="AH12" s="73"/>
      <c r="AI12" s="73"/>
      <c r="AJ12" s="73"/>
    </row>
    <row r="13" spans="1:36" ht="12.75" customHeight="1">
      <c r="A13" s="6" t="s">
        <v>28</v>
      </c>
      <c r="B13" s="48" t="s">
        <v>27</v>
      </c>
      <c r="C13" s="47">
        <v>3.6317904999999999E-3</v>
      </c>
      <c r="D13" s="47">
        <v>2.6240093000000002E-3</v>
      </c>
      <c r="E13" s="47">
        <v>1.6588772000000001E-3</v>
      </c>
      <c r="F13" s="47">
        <v>7.6251162000000002E-4</v>
      </c>
      <c r="G13" s="68"/>
      <c r="H13" s="47">
        <v>3.1504553E-3</v>
      </c>
      <c r="I13" s="47">
        <v>2.1453814000000002E-3</v>
      </c>
      <c r="J13" s="47">
        <v>1.2146696E-3</v>
      </c>
      <c r="K13" s="47">
        <v>4.3123442999999997E-4</v>
      </c>
      <c r="L13" s="68"/>
      <c r="M13" s="47">
        <v>2.7359306999999999E-3</v>
      </c>
      <c r="N13" s="47">
        <v>1.7922986000000001E-3</v>
      </c>
      <c r="O13" s="47">
        <v>9.6006906999999996E-4</v>
      </c>
      <c r="P13" s="47">
        <v>3.2348998999999999E-4</v>
      </c>
      <c r="Q13" s="70"/>
      <c r="R13" s="47">
        <v>2.3800202000000001E-3</v>
      </c>
      <c r="S13" s="47">
        <v>1.5234258E-3</v>
      </c>
      <c r="T13" s="47">
        <v>8.0434276999999995E-4</v>
      </c>
      <c r="U13" s="47">
        <v>2.8492650000000002E-4</v>
      </c>
      <c r="V13" s="70"/>
      <c r="W13" s="47">
        <v>2.0730356000000002E-3</v>
      </c>
      <c r="X13" s="47">
        <v>1.3122195000000001E-3</v>
      </c>
      <c r="Y13" s="47">
        <v>6.9951732999999996E-4</v>
      </c>
      <c r="Z13" s="47">
        <v>2.6698915000000003E-4</v>
      </c>
      <c r="AA13" s="70"/>
      <c r="AB13" s="21">
        <v>1.7956477000000001E-3</v>
      </c>
      <c r="AC13" s="73"/>
      <c r="AD13" s="73"/>
      <c r="AE13" s="73"/>
      <c r="AF13" s="70"/>
      <c r="AG13" s="22"/>
      <c r="AH13" s="73"/>
      <c r="AI13" s="73"/>
      <c r="AJ13" s="73"/>
    </row>
    <row r="14" spans="1:36" ht="12.75" customHeight="1">
      <c r="A14" s="6" t="s">
        <v>30</v>
      </c>
      <c r="B14" s="48" t="s">
        <v>29</v>
      </c>
      <c r="C14" s="47">
        <v>5.5202566000000001E-4</v>
      </c>
      <c r="D14" s="47">
        <v>4.5128246000000001E-4</v>
      </c>
      <c r="E14" s="47">
        <v>3.3564848E-4</v>
      </c>
      <c r="F14" s="47">
        <v>2.0037842E-4</v>
      </c>
      <c r="G14" s="68"/>
      <c r="H14" s="47">
        <v>8.6251611999999997E-4</v>
      </c>
      <c r="I14" s="47">
        <v>6.7693850000000004E-4</v>
      </c>
      <c r="J14" s="47">
        <v>4.6725807000000001E-4</v>
      </c>
      <c r="K14" s="47">
        <v>2.3599413E-4</v>
      </c>
      <c r="L14" s="68"/>
      <c r="M14" s="47">
        <v>1.3033515000000001E-3</v>
      </c>
      <c r="N14" s="47">
        <v>1.011294E-3</v>
      </c>
      <c r="O14" s="47">
        <v>6.8389375999999998E-4</v>
      </c>
      <c r="P14" s="47">
        <v>3.4270668000000002E-4</v>
      </c>
      <c r="Q14" s="70"/>
      <c r="R14" s="47">
        <v>1.8703335E-3</v>
      </c>
      <c r="S14" s="47">
        <v>1.4559026E-3</v>
      </c>
      <c r="T14" s="47">
        <v>9.9533970000000005E-4</v>
      </c>
      <c r="U14" s="47">
        <v>5.2983339999999998E-4</v>
      </c>
      <c r="V14" s="70"/>
      <c r="W14" s="47">
        <v>2.5509490999999999E-3</v>
      </c>
      <c r="X14" s="47">
        <v>2.0149568999999999E-3</v>
      </c>
      <c r="Y14" s="47">
        <v>1.4175666000000001E-3</v>
      </c>
      <c r="Z14" s="47">
        <v>8.1266178000000003E-4</v>
      </c>
      <c r="AA14" s="70"/>
      <c r="AB14" s="21">
        <v>3.3029753000000002E-3</v>
      </c>
      <c r="AC14" s="73"/>
      <c r="AD14" s="73"/>
      <c r="AE14" s="73"/>
      <c r="AF14" s="70"/>
      <c r="AG14" s="22"/>
      <c r="AH14" s="73"/>
      <c r="AI14" s="73"/>
      <c r="AJ14" s="73"/>
    </row>
    <row r="15" spans="1:36" ht="12.75" customHeight="1">
      <c r="A15" s="6" t="s">
        <v>32</v>
      </c>
      <c r="B15" s="48" t="s">
        <v>31</v>
      </c>
      <c r="C15" s="47">
        <v>2.1843936E-3</v>
      </c>
      <c r="D15" s="47">
        <v>2.3006991999999999E-3</v>
      </c>
      <c r="E15" s="47">
        <v>2.3465973999999999E-3</v>
      </c>
      <c r="F15" s="47">
        <v>2.2745984999999998E-3</v>
      </c>
      <c r="G15" s="68"/>
      <c r="H15" s="47">
        <v>2.8365736E-3</v>
      </c>
      <c r="I15" s="47">
        <v>3.0322989E-3</v>
      </c>
      <c r="J15" s="47">
        <v>3.1034029999999998E-3</v>
      </c>
      <c r="K15" s="47">
        <v>2.9015372000000001E-3</v>
      </c>
      <c r="L15" s="68"/>
      <c r="M15" s="47">
        <v>3.2247872999999999E-3</v>
      </c>
      <c r="N15" s="47">
        <v>3.4041090999999998E-3</v>
      </c>
      <c r="O15" s="47">
        <v>3.3959683000000002E-3</v>
      </c>
      <c r="P15" s="47">
        <v>3.0103134999999999E-3</v>
      </c>
      <c r="Q15" s="70"/>
      <c r="R15" s="47">
        <v>3.3696263999999998E-3</v>
      </c>
      <c r="S15" s="47">
        <v>3.4972459999999999E-3</v>
      </c>
      <c r="T15" s="47">
        <v>3.3959749999999999E-3</v>
      </c>
      <c r="U15" s="47">
        <v>2.9003138000000001E-3</v>
      </c>
      <c r="V15" s="70"/>
      <c r="W15" s="47">
        <v>3.3029799E-3</v>
      </c>
      <c r="X15" s="47">
        <v>3.3606043000000002E-3</v>
      </c>
      <c r="Y15" s="47">
        <v>3.183399E-3</v>
      </c>
      <c r="Z15" s="47">
        <v>2.6533601E-3</v>
      </c>
      <c r="AA15" s="70"/>
      <c r="AB15" s="21">
        <v>3.1057295E-3</v>
      </c>
      <c r="AC15" s="73"/>
      <c r="AD15" s="73"/>
      <c r="AE15" s="73"/>
      <c r="AF15" s="70"/>
      <c r="AG15" s="22"/>
      <c r="AH15" s="73"/>
      <c r="AI15" s="73"/>
      <c r="AJ15" s="73"/>
    </row>
    <row r="16" spans="1:36" ht="12.75" customHeight="1">
      <c r="A16" s="10"/>
      <c r="B16" s="48" t="s">
        <v>33</v>
      </c>
      <c r="C16" s="47">
        <v>2.5181331000000001E-3</v>
      </c>
      <c r="D16" s="47">
        <v>2.8016147999999999E-3</v>
      </c>
      <c r="E16" s="47">
        <v>3.0506727000000002E-3</v>
      </c>
      <c r="F16" s="47">
        <v>3.2727566000000001E-3</v>
      </c>
      <c r="G16" s="68"/>
      <c r="H16" s="47">
        <v>3.4551413999999998E-3</v>
      </c>
      <c r="I16" s="47">
        <v>3.9865081999999998E-3</v>
      </c>
      <c r="J16" s="47">
        <v>4.4820642999999997E-3</v>
      </c>
      <c r="K16" s="47">
        <v>4.9280783999999999E-3</v>
      </c>
      <c r="L16" s="68"/>
      <c r="M16" s="47">
        <v>4.1554145000000002E-3</v>
      </c>
      <c r="N16" s="47">
        <v>4.8755290999999996E-3</v>
      </c>
      <c r="O16" s="47">
        <v>5.5429503000000001E-3</v>
      </c>
      <c r="P16" s="47">
        <v>6.1199274999999996E-3</v>
      </c>
      <c r="Q16" s="70"/>
      <c r="R16" s="47">
        <v>4.5723626999999998E-3</v>
      </c>
      <c r="S16" s="47">
        <v>5.4659362999999999E-3</v>
      </c>
      <c r="T16" s="47">
        <v>6.2874853999999999E-3</v>
      </c>
      <c r="U16" s="47">
        <v>6.9845395999999999E-3</v>
      </c>
      <c r="V16" s="70"/>
      <c r="W16" s="47">
        <v>4.6622512000000001E-3</v>
      </c>
      <c r="X16" s="47">
        <v>5.6961427999999998E-3</v>
      </c>
      <c r="Y16" s="47">
        <v>6.6520327999999998E-3</v>
      </c>
      <c r="Z16" s="47">
        <v>7.4758441999999998E-3</v>
      </c>
      <c r="AA16" s="70"/>
      <c r="AB16" s="21">
        <v>4.4892109999999999E-3</v>
      </c>
      <c r="AC16" s="73"/>
      <c r="AD16" s="73"/>
      <c r="AE16" s="73"/>
      <c r="AF16" s="70"/>
      <c r="AG16" s="22"/>
      <c r="AH16" s="73"/>
      <c r="AI16" s="73"/>
      <c r="AJ16" s="73"/>
    </row>
    <row r="17" spans="1:38" ht="12.75" customHeight="1">
      <c r="A17" s="6"/>
      <c r="B17" s="48" t="s">
        <v>34</v>
      </c>
      <c r="C17" s="47">
        <v>1.2195047E-3</v>
      </c>
      <c r="D17" s="47">
        <v>1.4531137E-3</v>
      </c>
      <c r="E17" s="47">
        <v>1.7437990999999999E-3</v>
      </c>
      <c r="F17" s="47">
        <v>2.1966946000000001E-3</v>
      </c>
      <c r="G17" s="68"/>
      <c r="H17" s="47">
        <v>2.0996516999999999E-3</v>
      </c>
      <c r="I17" s="47">
        <v>2.5853569999999999E-3</v>
      </c>
      <c r="J17" s="47">
        <v>3.2245806000000001E-3</v>
      </c>
      <c r="K17" s="47">
        <v>4.2890766000000004E-3</v>
      </c>
      <c r="L17" s="68"/>
      <c r="M17" s="47">
        <v>3.1646058999999999E-3</v>
      </c>
      <c r="N17" s="47">
        <v>3.9541341000000002E-3</v>
      </c>
      <c r="O17" s="47">
        <v>4.9778577999999999E-3</v>
      </c>
      <c r="P17" s="47">
        <v>6.5619346000000004E-3</v>
      </c>
      <c r="Q17" s="70"/>
      <c r="R17" s="47">
        <v>4.2758060999999997E-3</v>
      </c>
      <c r="S17" s="47">
        <v>5.3932831999999997E-3</v>
      </c>
      <c r="T17" s="47">
        <v>6.7783606E-3</v>
      </c>
      <c r="U17" s="47">
        <v>8.698285E-3</v>
      </c>
      <c r="V17" s="70"/>
      <c r="W17" s="47">
        <v>5.2694917999999997E-3</v>
      </c>
      <c r="X17" s="47">
        <v>6.6860339E-3</v>
      </c>
      <c r="Y17" s="47">
        <v>8.3548341999999994E-3</v>
      </c>
      <c r="Z17" s="47">
        <v>1.0457630000000001E-2</v>
      </c>
      <c r="AA17" s="70"/>
      <c r="AB17" s="21">
        <v>6.0699383000000001E-3</v>
      </c>
      <c r="AC17" s="73"/>
      <c r="AD17" s="73"/>
      <c r="AE17" s="73"/>
      <c r="AF17" s="70"/>
      <c r="AG17" s="22"/>
      <c r="AH17" s="73"/>
      <c r="AI17" s="73"/>
      <c r="AJ17" s="73"/>
    </row>
    <row r="18" spans="1:38" ht="12.75" customHeight="1">
      <c r="A18" s="16" t="s">
        <v>55</v>
      </c>
      <c r="B18" s="17" t="s">
        <v>56</v>
      </c>
      <c r="C18" s="71">
        <f>SUM(C12:C17)</f>
        <v>1.340389856E-2</v>
      </c>
      <c r="D18" s="71">
        <f>SUM(D12:D17)</f>
        <v>1.375381316E-2</v>
      </c>
      <c r="E18" s="71">
        <f>SUM(E12:E17)</f>
        <v>1.4090396680000001E-2</v>
      </c>
      <c r="F18" s="71">
        <f>SUM(F12:F17)</f>
        <v>1.4471293239999999E-2</v>
      </c>
      <c r="G18" s="68"/>
      <c r="H18" s="71">
        <f>SUM(H12:H17)</f>
        <v>1.4936225520000001E-2</v>
      </c>
      <c r="I18" s="71">
        <f>SUM(I12:I17)</f>
        <v>1.56176562E-2</v>
      </c>
      <c r="J18" s="71">
        <f>SUM(J12:J17)</f>
        <v>1.632798387E-2</v>
      </c>
      <c r="K18" s="71">
        <f>SUM(K12:K17)</f>
        <v>1.719061396E-2</v>
      </c>
      <c r="L18" s="68"/>
      <c r="M18" s="71">
        <f>SUM(M12:M17)</f>
        <v>1.6389393400000001E-2</v>
      </c>
      <c r="N18" s="71">
        <f>SUM(N12:N17)</f>
        <v>1.7358243400000001E-2</v>
      </c>
      <c r="O18" s="71">
        <f>SUM(O12:O17)</f>
        <v>1.8373826230000001E-2</v>
      </c>
      <c r="P18" s="71">
        <f>SUM(P12:P17)</f>
        <v>1.9572248269999998E-2</v>
      </c>
      <c r="Q18" s="70"/>
      <c r="R18" s="71">
        <f>SUM(R12:R17)</f>
        <v>1.7645432799999999E-2</v>
      </c>
      <c r="S18" s="71">
        <f>SUM(S12:S17)</f>
        <v>1.8890529399999998E-2</v>
      </c>
      <c r="T18" s="71">
        <f>SUM(T12:T17)</f>
        <v>2.0174335770000003E-2</v>
      </c>
      <c r="U18" s="71">
        <f>SUM(U12:U17)</f>
        <v>2.1598599E-2</v>
      </c>
      <c r="V18" s="70"/>
      <c r="W18" s="71">
        <f>SUM(W12:W17)</f>
        <v>1.8572471860000002E-2</v>
      </c>
      <c r="X18" s="71">
        <f>SUM(X12:X17)</f>
        <v>2.00466384E-2</v>
      </c>
      <c r="Y18" s="71">
        <f>SUM(Y12:Y17)</f>
        <v>2.1538233429999998E-2</v>
      </c>
      <c r="Z18" s="71">
        <f>SUM(Z12:Z17)</f>
        <v>2.3110990230000003E-2</v>
      </c>
      <c r="AA18" s="70"/>
      <c r="AB18" s="74">
        <f>SUM(AB12:AB17)</f>
        <v>1.9175668E-2</v>
      </c>
      <c r="AC18" s="71"/>
      <c r="AD18" s="71"/>
      <c r="AE18" s="71"/>
      <c r="AF18" s="70"/>
      <c r="AG18" s="71"/>
      <c r="AH18" s="71"/>
      <c r="AI18" s="71"/>
      <c r="AJ18" s="71"/>
    </row>
    <row r="19" spans="1:38" ht="12.75" customHeight="1">
      <c r="C19" s="75"/>
      <c r="D19" s="75"/>
      <c r="E19" s="75"/>
      <c r="F19" s="75"/>
      <c r="G19" s="68"/>
      <c r="H19" s="75"/>
      <c r="I19" s="75"/>
      <c r="J19" s="75"/>
      <c r="K19" s="75"/>
      <c r="L19" s="68"/>
      <c r="M19" s="75"/>
      <c r="N19" s="75"/>
      <c r="O19" s="75"/>
      <c r="P19" s="75"/>
      <c r="Q19" s="70"/>
      <c r="R19" s="75"/>
      <c r="S19" s="75"/>
      <c r="T19" s="75"/>
      <c r="U19" s="75"/>
      <c r="V19" s="70"/>
      <c r="W19" s="75"/>
      <c r="X19" s="75"/>
      <c r="Y19" s="75"/>
      <c r="Z19" s="75"/>
      <c r="AA19" s="70"/>
      <c r="AB19" s="76"/>
      <c r="AC19" s="75"/>
      <c r="AD19" s="75"/>
      <c r="AE19" s="75"/>
      <c r="AF19" s="70"/>
      <c r="AG19" s="75"/>
      <c r="AH19" s="75"/>
      <c r="AI19" s="75"/>
      <c r="AJ19" s="75"/>
      <c r="AL19" s="47"/>
    </row>
    <row r="20" spans="1:38" ht="12.75" customHeight="1">
      <c r="A20" s="5" t="s">
        <v>26</v>
      </c>
      <c r="B20" t="s">
        <v>57</v>
      </c>
      <c r="C20" s="46">
        <v>5.4598400000000003E-7</v>
      </c>
      <c r="D20" s="46">
        <v>5.8612199999999996E-7</v>
      </c>
      <c r="E20" s="46">
        <v>6.15294E-7</v>
      </c>
      <c r="F20" s="46">
        <v>6.1887499999999996E-7</v>
      </c>
      <c r="G20" s="68"/>
      <c r="H20" s="46">
        <v>7.9145600000000002E-7</v>
      </c>
      <c r="I20" s="46">
        <v>8.6496599999999999E-7</v>
      </c>
      <c r="J20" s="46">
        <v>9.1374299999999995E-7</v>
      </c>
      <c r="K20" s="46">
        <v>8.6367100000000003E-7</v>
      </c>
      <c r="L20" s="68"/>
      <c r="M20" s="46">
        <v>8.01762E-7</v>
      </c>
      <c r="N20" s="46">
        <v>6.8156800000000003E-7</v>
      </c>
      <c r="O20" s="46">
        <v>5.2598999999999996E-7</v>
      </c>
      <c r="P20" s="46">
        <v>4.10008E-7</v>
      </c>
      <c r="Q20" s="70"/>
      <c r="R20" s="46">
        <v>2.16704E-6</v>
      </c>
      <c r="S20" s="46">
        <v>2.1276799999999998E-6</v>
      </c>
      <c r="T20" s="46">
        <v>1.91792E-6</v>
      </c>
      <c r="U20" s="46">
        <v>1.49585E-6</v>
      </c>
      <c r="V20" s="70"/>
      <c r="W20" s="46">
        <v>3.7661700000000001E-6</v>
      </c>
      <c r="X20" s="46">
        <v>3.9131400000000001E-6</v>
      </c>
      <c r="Y20" s="46">
        <v>3.8114099999999999E-6</v>
      </c>
      <c r="Z20" s="46">
        <v>3.1734599999999999E-6</v>
      </c>
      <c r="AA20" s="70"/>
      <c r="AB20" s="20">
        <v>4.0642699999999998E-6</v>
      </c>
      <c r="AC20" s="73"/>
      <c r="AD20" s="73"/>
      <c r="AE20" s="22"/>
      <c r="AF20" s="70"/>
      <c r="AG20" s="23"/>
      <c r="AH20" s="73"/>
      <c r="AI20" s="73"/>
      <c r="AJ20" s="22"/>
      <c r="AL20" s="47"/>
    </row>
    <row r="21" spans="1:38" ht="12.75" customHeight="1">
      <c r="A21" s="6"/>
      <c r="B21" s="47" t="s">
        <v>36</v>
      </c>
      <c r="C21" s="70"/>
      <c r="D21" s="68"/>
      <c r="E21" s="70"/>
      <c r="F21" s="70"/>
      <c r="G21" s="68"/>
      <c r="H21" s="70"/>
      <c r="I21" s="68"/>
      <c r="J21" s="70"/>
      <c r="K21" s="70"/>
      <c r="L21" s="68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47"/>
      <c r="Z21" s="70"/>
      <c r="AA21" s="70"/>
      <c r="AB21" s="72"/>
      <c r="AC21" s="77"/>
      <c r="AD21" s="77"/>
      <c r="AE21" s="24"/>
      <c r="AF21" s="70"/>
      <c r="AG21" s="77"/>
      <c r="AH21" s="77"/>
      <c r="AI21" s="77"/>
      <c r="AJ21" s="24"/>
    </row>
    <row r="22" spans="1:38" ht="12.75" customHeight="1">
      <c r="A22" s="6" t="s">
        <v>28</v>
      </c>
      <c r="C22" s="70"/>
      <c r="D22" s="68"/>
      <c r="E22" s="70"/>
      <c r="F22" s="70"/>
      <c r="G22" s="70"/>
      <c r="H22" s="70"/>
      <c r="I22" s="68"/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2"/>
      <c r="AC22" s="77"/>
      <c r="AD22" s="77"/>
      <c r="AE22" s="24"/>
      <c r="AF22" s="70"/>
      <c r="AG22" s="77"/>
      <c r="AH22" s="77"/>
      <c r="AI22" s="77"/>
      <c r="AJ22" s="24"/>
    </row>
    <row r="23" spans="1:38" ht="12.75" customHeight="1">
      <c r="A23" s="6"/>
      <c r="B23" t="s">
        <v>58</v>
      </c>
      <c r="C23" s="46">
        <v>1.3682099999999999E-6</v>
      </c>
      <c r="D23" s="46">
        <v>1.2907800000000001E-6</v>
      </c>
      <c r="E23" s="46">
        <v>1.3411200000000001E-6</v>
      </c>
      <c r="F23" s="46">
        <v>1.2374899999999999E-6</v>
      </c>
      <c r="G23" s="70"/>
      <c r="H23" s="46">
        <v>1.8495400000000001E-6</v>
      </c>
      <c r="I23" s="46">
        <v>1.8546199999999999E-6</v>
      </c>
      <c r="J23" s="46">
        <v>1.7853300000000001E-6</v>
      </c>
      <c r="K23" s="46">
        <v>1.5687699999999999E-6</v>
      </c>
      <c r="L23" s="70"/>
      <c r="M23" s="46">
        <v>2.2640700000000001E-6</v>
      </c>
      <c r="N23" s="46">
        <v>2.2077000000000001E-6</v>
      </c>
      <c r="O23" s="46">
        <v>2.0399300000000001E-6</v>
      </c>
      <c r="P23" s="46">
        <v>1.67651E-6</v>
      </c>
      <c r="Q23" s="70"/>
      <c r="R23" s="46">
        <v>2.6199800000000002E-6</v>
      </c>
      <c r="S23" s="46">
        <v>2.4765700000000002E-6</v>
      </c>
      <c r="T23" s="46">
        <v>2.1956600000000002E-6</v>
      </c>
      <c r="U23" s="46">
        <v>1.7150699999999999E-6</v>
      </c>
      <c r="V23" s="70"/>
      <c r="W23" s="46">
        <v>2.9269599999999998E-6</v>
      </c>
      <c r="X23" s="46">
        <v>2.6877800000000002E-6</v>
      </c>
      <c r="Y23" s="46">
        <v>2.3004800000000001E-6</v>
      </c>
      <c r="Z23" s="46">
        <v>1.73301E-6</v>
      </c>
      <c r="AA23" s="70"/>
      <c r="AB23" s="20">
        <v>3.2043500000000001E-6</v>
      </c>
      <c r="AC23" s="73"/>
      <c r="AD23" s="73"/>
      <c r="AE23" s="22"/>
      <c r="AF23" s="70"/>
      <c r="AG23" s="23"/>
      <c r="AH23" s="73"/>
      <c r="AI23" s="73"/>
      <c r="AJ23" s="22"/>
    </row>
    <row r="24" spans="1:38" ht="12.75" customHeight="1">
      <c r="A24" s="6" t="s">
        <v>38</v>
      </c>
      <c r="B24" s="47" t="s">
        <v>39</v>
      </c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2"/>
      <c r="AC24" s="77"/>
      <c r="AD24" s="77"/>
      <c r="AE24" s="24"/>
      <c r="AF24" s="70"/>
      <c r="AG24" s="77"/>
      <c r="AH24" s="77"/>
      <c r="AI24" s="77"/>
      <c r="AJ24" s="24"/>
    </row>
    <row r="25" spans="1:38" ht="12.75" customHeight="1">
      <c r="A25" s="6"/>
      <c r="C25" s="70"/>
      <c r="D25" s="70"/>
      <c r="E25" s="70"/>
      <c r="F25" s="70"/>
      <c r="G25" s="70"/>
      <c r="H25" s="70"/>
      <c r="I25" s="70"/>
      <c r="J25" s="70"/>
      <c r="K25" s="46"/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2"/>
      <c r="AC25" s="77"/>
      <c r="AD25" s="77"/>
      <c r="AE25" s="22"/>
      <c r="AF25" s="70"/>
      <c r="AG25" s="77"/>
      <c r="AH25" s="77"/>
      <c r="AI25" s="77"/>
      <c r="AJ25" s="22"/>
    </row>
    <row r="26" spans="1:38" ht="12.75" customHeight="1">
      <c r="A26" s="6"/>
      <c r="B26" t="s">
        <v>59</v>
      </c>
      <c r="C26" s="46">
        <v>1.15596E-6</v>
      </c>
      <c r="D26" s="46">
        <v>1.37599E-6</v>
      </c>
      <c r="E26" s="46">
        <v>1.4299000000000001E-6</v>
      </c>
      <c r="F26" s="46">
        <v>1.6167699999999999E-6</v>
      </c>
      <c r="G26" s="70"/>
      <c r="H26" s="46">
        <v>1.6766599999999999E-6</v>
      </c>
      <c r="I26" s="46">
        <v>1.9438599999999999E-6</v>
      </c>
      <c r="J26" s="46">
        <v>2.2502500000000002E-6</v>
      </c>
      <c r="K26" s="46">
        <v>2.7316400000000001E-6</v>
      </c>
      <c r="L26" s="70"/>
      <c r="M26" s="46">
        <v>2.39293E-6</v>
      </c>
      <c r="N26" s="46">
        <v>2.9975500000000002E-6</v>
      </c>
      <c r="O26" s="46">
        <v>3.6609200000000001E-6</v>
      </c>
      <c r="P26" s="46">
        <v>4.37612E-6</v>
      </c>
      <c r="Q26" s="70"/>
      <c r="R26" s="46">
        <v>1.65568E-6</v>
      </c>
      <c r="S26" s="46">
        <v>2.3175799999999999E-6</v>
      </c>
      <c r="T26" s="46">
        <v>3.1692500000000002E-6</v>
      </c>
      <c r="U26" s="46">
        <v>4.3034500000000003E-6</v>
      </c>
      <c r="V26" s="70"/>
      <c r="W26" s="46">
        <v>5.2007000000000002E-7</v>
      </c>
      <c r="X26" s="46">
        <v>1.1101800000000001E-6</v>
      </c>
      <c r="Y26" s="46">
        <v>1.9577100000000002E-6</v>
      </c>
      <c r="Z26" s="46">
        <v>3.3820399999999998E-6</v>
      </c>
      <c r="AA26" s="70"/>
      <c r="AB26" s="20">
        <v>5.2356900000000005E-7</v>
      </c>
      <c r="AC26" s="73"/>
      <c r="AD26" s="73"/>
      <c r="AE26" s="22"/>
      <c r="AF26" s="70"/>
      <c r="AG26" s="23"/>
      <c r="AH26" s="73"/>
      <c r="AI26" s="73"/>
      <c r="AJ26" s="22"/>
    </row>
    <row r="27" spans="1:38" ht="12.75" customHeight="1">
      <c r="A27" s="6" t="s">
        <v>41</v>
      </c>
      <c r="B27" s="47" t="s">
        <v>42</v>
      </c>
      <c r="AB27" s="26"/>
      <c r="AC27" s="24"/>
      <c r="AD27" s="24"/>
      <c r="AE27" s="24"/>
      <c r="AG27" s="24"/>
      <c r="AH27" s="24"/>
      <c r="AI27" s="24"/>
      <c r="AJ27" s="24"/>
    </row>
    <row r="28" spans="1:38" ht="12.75" customHeight="1">
      <c r="A28" s="10"/>
      <c r="AB28" s="26"/>
      <c r="AC28" s="24"/>
      <c r="AD28" s="24"/>
      <c r="AE28" s="24"/>
      <c r="AG28" s="24"/>
      <c r="AH28" s="24"/>
      <c r="AI28" s="24"/>
      <c r="AJ28" s="24"/>
    </row>
    <row r="29" spans="1:38" ht="12.75" customHeight="1">
      <c r="A29" s="6">
        <v>1</v>
      </c>
      <c r="B29" s="48" t="s">
        <v>43</v>
      </c>
      <c r="C29" s="21">
        <v>34.039000000000001</v>
      </c>
      <c r="D29" s="47">
        <v>31.2818</v>
      </c>
      <c r="E29" s="47">
        <v>29.217099999999999</v>
      </c>
      <c r="F29" s="47">
        <v>27.945599999999999</v>
      </c>
      <c r="H29" s="21">
        <v>49.362299999999998</v>
      </c>
      <c r="I29" s="47">
        <v>46.813800000000001</v>
      </c>
      <c r="J29" s="47">
        <v>45.1999</v>
      </c>
      <c r="K29" s="47">
        <v>44.941299999999998</v>
      </c>
      <c r="M29" s="47">
        <v>63.893900000000002</v>
      </c>
      <c r="N29" s="47">
        <v>61.3187</v>
      </c>
      <c r="O29" s="47">
        <v>59.813000000000002</v>
      </c>
      <c r="P29" s="47">
        <v>59.826500000000003</v>
      </c>
      <c r="R29" s="47">
        <v>76.454300000000003</v>
      </c>
      <c r="S29" s="47">
        <v>74.087699999999998</v>
      </c>
      <c r="T29" s="47">
        <v>72.6738</v>
      </c>
      <c r="U29" s="47">
        <v>72.491200000000006</v>
      </c>
      <c r="W29" s="47">
        <v>85.724699999999999</v>
      </c>
      <c r="X29" s="47">
        <v>83.721999999999994</v>
      </c>
      <c r="Y29" s="47">
        <v>82.415899999999993</v>
      </c>
      <c r="Z29" s="47">
        <v>81.943700000000007</v>
      </c>
      <c r="AB29" s="21">
        <v>91.756699999999995</v>
      </c>
      <c r="AC29" s="22"/>
      <c r="AD29" s="22"/>
      <c r="AE29" s="22"/>
      <c r="AG29" s="22"/>
      <c r="AH29" s="22"/>
      <c r="AI29" s="22"/>
      <c r="AJ29" s="22"/>
    </row>
    <row r="30" spans="1:38" ht="12.75" customHeight="1">
      <c r="A30" s="11"/>
      <c r="B30" s="48" t="s">
        <v>44</v>
      </c>
      <c r="C30" s="21">
        <v>27.3642</v>
      </c>
      <c r="D30" s="47">
        <v>34.399799999999999</v>
      </c>
      <c r="E30" s="47">
        <v>44.704099999999997</v>
      </c>
      <c r="F30" s="47">
        <v>61.874400000000001</v>
      </c>
      <c r="H30" s="21">
        <v>36.990900000000003</v>
      </c>
      <c r="I30" s="47">
        <v>46.365499999999997</v>
      </c>
      <c r="J30" s="47">
        <v>59.511000000000003</v>
      </c>
      <c r="K30" s="47">
        <v>78.438299999999998</v>
      </c>
      <c r="M30" s="47">
        <v>45.281399999999998</v>
      </c>
      <c r="N30" s="47">
        <v>55.192500000000003</v>
      </c>
      <c r="O30" s="47">
        <v>67.997699999999995</v>
      </c>
      <c r="P30" s="47">
        <v>83.825500000000005</v>
      </c>
      <c r="R30" s="47">
        <v>52.3996</v>
      </c>
      <c r="S30" s="47">
        <v>61.914400000000001</v>
      </c>
      <c r="T30" s="47">
        <v>73.188599999999994</v>
      </c>
      <c r="U30" s="47">
        <v>85.753699999999995</v>
      </c>
      <c r="W30" s="47">
        <v>58.539299999999997</v>
      </c>
      <c r="X30" s="47">
        <v>67.194500000000005</v>
      </c>
      <c r="Y30" s="47">
        <v>76.6828</v>
      </c>
      <c r="Z30" s="47">
        <v>86.650499999999994</v>
      </c>
      <c r="AB30" s="21">
        <v>64.087000000000003</v>
      </c>
      <c r="AC30" s="22"/>
      <c r="AD30" s="22"/>
      <c r="AE30" s="22"/>
      <c r="AG30" s="22"/>
      <c r="AH30" s="22"/>
      <c r="AI30" s="22"/>
      <c r="AJ30" s="22"/>
    </row>
    <row r="31" spans="1:38" ht="12.75" customHeight="1">
      <c r="B31" s="48" t="s">
        <v>45</v>
      </c>
      <c r="C31">
        <f>C26/(C20+C26)</f>
        <v>0.67919978565687233</v>
      </c>
      <c r="D31">
        <f>D26/(D20+D26)</f>
        <v>0.70128004925304988</v>
      </c>
      <c r="E31">
        <f>E26/(E20+E26)</f>
        <v>0.69915127855841541</v>
      </c>
      <c r="F31">
        <f>F26/(F20+F26)</f>
        <v>0.72317832213969568</v>
      </c>
      <c r="H31">
        <f>H26/(H20+H26)</f>
        <v>0.6793278759993453</v>
      </c>
      <c r="I31">
        <f>I26/(I20+I26)</f>
        <v>0.69205426039206408</v>
      </c>
      <c r="J31">
        <f>J26/(J20+J26)</f>
        <v>0.71120574539829895</v>
      </c>
      <c r="K31">
        <f>K26/(K20+K26)</f>
        <v>0.75977850038564121</v>
      </c>
      <c r="M31">
        <f>M26/(M20+M26)</f>
        <v>0.74903308362746712</v>
      </c>
      <c r="N31">
        <f>N26/(N20+N26)</f>
        <v>0.81474690401340755</v>
      </c>
      <c r="O31">
        <f>O26/(O20+O26)</f>
        <v>0.87437274744381888</v>
      </c>
      <c r="P31">
        <f>P26/(P20+P26)</f>
        <v>0.9143340921931048</v>
      </c>
      <c r="R31">
        <f>R26/(R20+R26)</f>
        <v>0.43311568725933369</v>
      </c>
      <c r="S31">
        <f>S26/(S20+S26)</f>
        <v>0.52135983047110857</v>
      </c>
      <c r="T31">
        <f>T26/(T20+T26)</f>
        <v>0.62298881303357267</v>
      </c>
      <c r="U31">
        <f>U26/(U20+U26)</f>
        <v>0.74206369734278277</v>
      </c>
      <c r="W31">
        <f>W26/(W20+W26)</f>
        <v>0.12133478293329353</v>
      </c>
      <c r="X31">
        <f>X26/(X20+X26)</f>
        <v>0.22100523159981844</v>
      </c>
      <c r="Y31">
        <f>Y26/(Y20+Y26)</f>
        <v>0.33934291538397537</v>
      </c>
      <c r="Z31">
        <f>Z26/(Z20+Z26)</f>
        <v>0.51590877888795661</v>
      </c>
      <c r="AB31">
        <f>AB26/(AB20+AB26)</f>
        <v>0.11412104914753986</v>
      </c>
    </row>
    <row r="32" spans="1:38" ht="12.75" customHeight="1">
      <c r="B32" s="48" t="s">
        <v>46</v>
      </c>
      <c r="C32">
        <f>C17/C14</f>
        <v>2.2091449517038755</v>
      </c>
      <c r="D32">
        <f>D17/D14</f>
        <v>3.2199649416908427</v>
      </c>
      <c r="E32">
        <f>E17/E14</f>
        <v>5.1953135613782608</v>
      </c>
      <c r="F32">
        <f>F17/F14</f>
        <v>10.962730417776525</v>
      </c>
      <c r="H32">
        <f>H17/H14</f>
        <v>2.434333285272396</v>
      </c>
      <c r="I32">
        <f>I17/I14</f>
        <v>3.8191903695830565</v>
      </c>
      <c r="J32">
        <f>J17/J14</f>
        <v>6.9010698948441922</v>
      </c>
      <c r="K32">
        <f>K17/K14</f>
        <v>18.174505442148075</v>
      </c>
      <c r="M32">
        <f>M17/M14</f>
        <v>2.4280525245875726</v>
      </c>
      <c r="N32">
        <f>N17/N14</f>
        <v>3.9099748441106148</v>
      </c>
      <c r="O32">
        <f>O17/O14</f>
        <v>7.2787004227089307</v>
      </c>
      <c r="P32">
        <f>P17/P14</f>
        <v>19.147378743828398</v>
      </c>
      <c r="R32">
        <f>R17/R14</f>
        <v>2.2861196144965588</v>
      </c>
      <c r="S32">
        <f>S17/S14</f>
        <v>3.7044258317829777</v>
      </c>
      <c r="T32">
        <f>T17/T14</f>
        <v>6.8100976983034034</v>
      </c>
      <c r="U32">
        <f>U17/U14</f>
        <v>16.41701901012658</v>
      </c>
      <c r="W32">
        <f>W17/W14</f>
        <v>2.0656985276578039</v>
      </c>
      <c r="X32">
        <f>X17/X14</f>
        <v>3.3182019426817519</v>
      </c>
      <c r="Y32">
        <f>Y17/Y14</f>
        <v>5.8937860132991275</v>
      </c>
      <c r="Z32">
        <f>Z17/Z14</f>
        <v>12.868366960729961</v>
      </c>
      <c r="AB32">
        <f>AB17/AB14</f>
        <v>1.8377183444272198</v>
      </c>
    </row>
    <row r="33" ht="12.75" customHeight="1"/>
    <row r="34" ht="12.75" customHeight="1"/>
    <row r="35" ht="12.75" customHeight="1"/>
    <row r="36" ht="12.75" customHeight="1"/>
    <row r="37" ht="12.75" customHeight="1"/>
  </sheetData>
  <pageMargins left="0.39374999999999999" right="0.39374999999999999" top="0.78749999999999998" bottom="0.78749999999999998" header="0.511811023622047" footer="0.511811023622047"/>
  <pageSetup paperSize="9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50"/>
  <sheetViews>
    <sheetView zoomScale="83" zoomScaleNormal="83" workbookViewId="0">
      <selection activeCell="C3" sqref="C3"/>
    </sheetView>
  </sheetViews>
  <sheetFormatPr defaultColWidth="11.54296875" defaultRowHeight="12.5"/>
  <cols>
    <col min="1" max="1" width="6.54296875" style="85" customWidth="1"/>
    <col min="2" max="2" width="30.7265625" style="85" customWidth="1"/>
    <col min="3" max="6" width="12.7265625" style="85" customWidth="1"/>
    <col min="7" max="7" width="2" style="85" customWidth="1"/>
    <col min="8" max="11" width="12.7265625" style="85" customWidth="1"/>
    <col min="12" max="12" width="2" style="85" customWidth="1"/>
    <col min="13" max="16" width="12.7265625" style="85" customWidth="1"/>
    <col min="17" max="17" width="2" style="85" customWidth="1"/>
    <col min="18" max="21" width="12.7265625" style="85" customWidth="1"/>
    <col min="22" max="22" width="2" style="85" customWidth="1"/>
    <col min="23" max="26" width="12.7265625" style="85" customWidth="1"/>
    <col min="27" max="27" width="2" style="85" customWidth="1"/>
    <col min="28" max="28" width="14" style="85" customWidth="1"/>
    <col min="32" max="32" width="2" style="85" customWidth="1"/>
  </cols>
  <sheetData>
    <row r="1" spans="1:36" ht="12.75" customHeight="1"/>
    <row r="2" spans="1:36" ht="12.75" customHeight="1">
      <c r="A2" s="5"/>
      <c r="B2" s="48" t="s">
        <v>47</v>
      </c>
      <c r="C2" s="35" t="s">
        <v>6</v>
      </c>
      <c r="D2" s="35" t="s">
        <v>6</v>
      </c>
      <c r="E2" s="35" t="s">
        <v>6</v>
      </c>
      <c r="F2" s="35" t="s">
        <v>6</v>
      </c>
      <c r="G2" s="35"/>
      <c r="H2" s="35" t="s">
        <v>48</v>
      </c>
      <c r="I2" s="35" t="s">
        <v>48</v>
      </c>
      <c r="J2" s="35" t="s">
        <v>48</v>
      </c>
      <c r="K2" s="35" t="s">
        <v>48</v>
      </c>
      <c r="L2" s="49"/>
      <c r="M2" s="35" t="s">
        <v>8</v>
      </c>
      <c r="N2" s="35" t="s">
        <v>8</v>
      </c>
      <c r="O2" s="35" t="s">
        <v>8</v>
      </c>
      <c r="P2" s="35" t="s">
        <v>8</v>
      </c>
      <c r="Q2" s="35"/>
      <c r="R2" s="35" t="s">
        <v>9</v>
      </c>
      <c r="S2" s="35" t="s">
        <v>9</v>
      </c>
      <c r="T2" s="35" t="s">
        <v>9</v>
      </c>
      <c r="U2" s="35" t="s">
        <v>9</v>
      </c>
      <c r="W2" s="35" t="s">
        <v>10</v>
      </c>
      <c r="X2" s="35" t="s">
        <v>10</v>
      </c>
      <c r="Y2" s="35" t="s">
        <v>10</v>
      </c>
      <c r="Z2" s="35" t="s">
        <v>10</v>
      </c>
      <c r="AB2" s="35" t="s">
        <v>11</v>
      </c>
      <c r="AC2" s="35"/>
      <c r="AD2" s="35"/>
      <c r="AE2" s="35"/>
      <c r="AG2" s="35"/>
      <c r="AH2" s="35"/>
      <c r="AI2" s="35"/>
      <c r="AJ2" s="35"/>
    </row>
    <row r="3" spans="1:36" ht="12.75" customHeight="1">
      <c r="A3" s="6" t="s">
        <v>38</v>
      </c>
      <c r="B3" s="48" t="s">
        <v>49</v>
      </c>
      <c r="C3">
        <f>15*101325</f>
        <v>1519875</v>
      </c>
      <c r="D3">
        <v>1519875</v>
      </c>
      <c r="E3">
        <v>1519875</v>
      </c>
      <c r="F3">
        <v>1519875</v>
      </c>
      <c r="H3">
        <v>1519875</v>
      </c>
      <c r="I3">
        <v>1519875</v>
      </c>
      <c r="J3">
        <v>1519875</v>
      </c>
      <c r="K3">
        <v>1519875</v>
      </c>
      <c r="M3">
        <v>1519875</v>
      </c>
      <c r="N3">
        <v>1519875</v>
      </c>
      <c r="O3">
        <v>1519875</v>
      </c>
      <c r="P3">
        <v>1519875</v>
      </c>
      <c r="R3">
        <v>1519875</v>
      </c>
      <c r="S3">
        <v>1519875</v>
      </c>
      <c r="T3">
        <v>1519875</v>
      </c>
      <c r="U3">
        <v>1519875</v>
      </c>
      <c r="W3">
        <v>1519875</v>
      </c>
      <c r="X3">
        <v>1519875</v>
      </c>
      <c r="Y3">
        <v>1519875</v>
      </c>
      <c r="Z3">
        <v>1519875</v>
      </c>
      <c r="AB3">
        <v>1519875</v>
      </c>
    </row>
    <row r="4" spans="1:36" ht="12.75" customHeight="1">
      <c r="A4" s="6" t="s">
        <v>50</v>
      </c>
      <c r="B4" s="48" t="s">
        <v>51</v>
      </c>
      <c r="C4">
        <v>0.01</v>
      </c>
      <c r="D4">
        <v>0.01</v>
      </c>
      <c r="E4">
        <v>0.01</v>
      </c>
      <c r="F4">
        <v>0.01</v>
      </c>
      <c r="H4">
        <v>0.01</v>
      </c>
      <c r="I4">
        <v>0.01</v>
      </c>
      <c r="J4">
        <v>0.01</v>
      </c>
      <c r="K4">
        <v>0.01</v>
      </c>
      <c r="M4">
        <v>0.01</v>
      </c>
      <c r="N4">
        <v>0.01</v>
      </c>
      <c r="O4">
        <v>0.01</v>
      </c>
      <c r="P4">
        <v>0.01</v>
      </c>
      <c r="R4">
        <v>0.01</v>
      </c>
      <c r="S4">
        <v>0.01</v>
      </c>
      <c r="T4">
        <v>0.01</v>
      </c>
      <c r="U4">
        <v>0.01</v>
      </c>
      <c r="W4">
        <v>0.01</v>
      </c>
      <c r="X4">
        <v>0.01</v>
      </c>
      <c r="Y4">
        <v>0.01</v>
      </c>
      <c r="Z4">
        <v>0.01</v>
      </c>
      <c r="AB4">
        <v>0.01</v>
      </c>
    </row>
    <row r="5" spans="1:36" ht="12.75" customHeight="1">
      <c r="A5" s="6" t="s">
        <v>50</v>
      </c>
    </row>
    <row r="6" spans="1:36" ht="12.75" customHeight="1">
      <c r="A6" s="6" t="s">
        <v>32</v>
      </c>
      <c r="B6" s="13" t="s">
        <v>52</v>
      </c>
    </row>
    <row r="7" spans="1:36" ht="12.75" customHeight="1">
      <c r="A7" s="6"/>
      <c r="B7" s="48" t="s">
        <v>20</v>
      </c>
      <c r="C7">
        <v>1</v>
      </c>
      <c r="D7">
        <v>1</v>
      </c>
      <c r="E7">
        <v>1</v>
      </c>
      <c r="F7">
        <v>1</v>
      </c>
      <c r="H7">
        <v>1</v>
      </c>
      <c r="I7">
        <v>1</v>
      </c>
      <c r="J7">
        <v>1</v>
      </c>
      <c r="K7">
        <v>1</v>
      </c>
      <c r="M7">
        <v>1</v>
      </c>
      <c r="N7">
        <v>1</v>
      </c>
      <c r="O7">
        <v>1</v>
      </c>
      <c r="P7">
        <v>1</v>
      </c>
      <c r="R7">
        <v>1</v>
      </c>
      <c r="S7">
        <v>1</v>
      </c>
      <c r="T7">
        <v>1</v>
      </c>
      <c r="U7">
        <v>1</v>
      </c>
      <c r="W7">
        <v>1</v>
      </c>
      <c r="X7">
        <v>1</v>
      </c>
      <c r="Y7">
        <v>1</v>
      </c>
      <c r="Z7">
        <v>1</v>
      </c>
      <c r="AB7">
        <v>1</v>
      </c>
    </row>
    <row r="8" spans="1:36" ht="12.75" customHeight="1">
      <c r="A8" s="14" t="s">
        <v>53</v>
      </c>
      <c r="B8" s="48" t="s">
        <v>21</v>
      </c>
      <c r="C8">
        <f>C7/(1+C7)</f>
        <v>0.5</v>
      </c>
      <c r="D8">
        <v>0.6</v>
      </c>
      <c r="E8">
        <v>0.7</v>
      </c>
      <c r="F8">
        <v>0.8</v>
      </c>
      <c r="H8">
        <f>H7/(1+H7)</f>
        <v>0.5</v>
      </c>
      <c r="I8">
        <v>0.6</v>
      </c>
      <c r="J8">
        <v>0.7</v>
      </c>
      <c r="K8">
        <v>0.8</v>
      </c>
      <c r="M8">
        <f>M7/(1+M7)</f>
        <v>0.5</v>
      </c>
      <c r="N8">
        <v>0.6</v>
      </c>
      <c r="O8">
        <v>0.7</v>
      </c>
      <c r="P8">
        <v>0.8</v>
      </c>
      <c r="R8">
        <f>R7/(1+R7)</f>
        <v>0.5</v>
      </c>
      <c r="S8">
        <v>0.6</v>
      </c>
      <c r="T8">
        <v>0.7</v>
      </c>
      <c r="U8">
        <v>0.8</v>
      </c>
      <c r="W8">
        <f>W7/(1+W7)</f>
        <v>0.5</v>
      </c>
      <c r="X8">
        <v>0.6</v>
      </c>
      <c r="Y8">
        <v>0.7</v>
      </c>
      <c r="Z8">
        <v>0.8</v>
      </c>
      <c r="AB8">
        <f>AB7/(1+AB7)</f>
        <v>0.5</v>
      </c>
    </row>
    <row r="9" spans="1:36" ht="12.75" customHeight="1">
      <c r="A9" s="7"/>
      <c r="B9" s="48" t="s">
        <v>22</v>
      </c>
      <c r="C9">
        <f>1/(1+C7)</f>
        <v>0.5</v>
      </c>
      <c r="D9">
        <v>0.4</v>
      </c>
      <c r="E9">
        <v>0.3</v>
      </c>
      <c r="F9">
        <v>0.2</v>
      </c>
      <c r="H9">
        <f>1/(1+H7)</f>
        <v>0.5</v>
      </c>
      <c r="I9">
        <v>0.4</v>
      </c>
      <c r="J9">
        <v>0.3</v>
      </c>
      <c r="K9">
        <v>0.2</v>
      </c>
      <c r="M9">
        <f>1/(1+M7)</f>
        <v>0.5</v>
      </c>
      <c r="N9">
        <v>0.4</v>
      </c>
      <c r="O9">
        <v>0.3</v>
      </c>
      <c r="P9">
        <v>0.2</v>
      </c>
      <c r="R9">
        <f>1/(1+R7)</f>
        <v>0.5</v>
      </c>
      <c r="S9">
        <v>0.4</v>
      </c>
      <c r="T9">
        <v>0.3</v>
      </c>
      <c r="U9">
        <v>0.2</v>
      </c>
      <c r="W9">
        <f>1/(1+W7)</f>
        <v>0.5</v>
      </c>
      <c r="X9">
        <v>0.4</v>
      </c>
      <c r="Y9">
        <v>0.3</v>
      </c>
      <c r="Z9">
        <v>0.2</v>
      </c>
      <c r="AB9">
        <f>1/(1+AB7)</f>
        <v>0.5</v>
      </c>
    </row>
    <row r="10" spans="1:36" ht="12.75" customHeight="1">
      <c r="A10" s="1"/>
      <c r="C10" s="35"/>
      <c r="D10" s="35"/>
      <c r="E10" s="35"/>
      <c r="F10" s="35"/>
      <c r="G10" s="35"/>
      <c r="H10" s="35"/>
      <c r="I10" s="35"/>
      <c r="J10" s="35"/>
      <c r="K10" s="35"/>
      <c r="L10" s="25"/>
      <c r="M10" s="35"/>
      <c r="N10" s="35"/>
      <c r="O10" s="35"/>
      <c r="P10" s="1"/>
      <c r="Q10" s="1"/>
      <c r="R10" s="35"/>
      <c r="S10" s="35"/>
      <c r="T10" s="35"/>
      <c r="U10" s="1"/>
      <c r="W10" s="35"/>
      <c r="X10" s="35"/>
      <c r="Y10" s="35"/>
      <c r="Z10" s="35"/>
      <c r="AB10" s="35"/>
      <c r="AC10" s="35"/>
      <c r="AD10" s="35"/>
      <c r="AE10" s="35"/>
      <c r="AG10" s="35"/>
      <c r="AH10" s="35"/>
      <c r="AI10" s="35"/>
      <c r="AJ10" s="35"/>
    </row>
    <row r="11" spans="1:36" ht="13.5" customHeight="1">
      <c r="A11" s="15"/>
      <c r="B11" s="13" t="s">
        <v>54</v>
      </c>
      <c r="C11" s="35"/>
      <c r="D11" s="35"/>
      <c r="E11" s="35"/>
      <c r="F11" s="35"/>
      <c r="G11" s="35"/>
      <c r="H11" s="35"/>
      <c r="I11" s="35"/>
      <c r="J11" s="35"/>
      <c r="K11" s="35"/>
      <c r="L11" s="49"/>
      <c r="M11" s="35"/>
      <c r="N11" s="35"/>
      <c r="O11" s="35"/>
      <c r="P11" s="35"/>
      <c r="Q11" s="35"/>
      <c r="R11" s="35"/>
      <c r="S11" s="35"/>
      <c r="T11" s="35"/>
      <c r="U11" s="35"/>
      <c r="W11" s="35"/>
      <c r="X11" s="35"/>
      <c r="Y11" s="35"/>
      <c r="Z11" s="35"/>
      <c r="AB11" s="35"/>
      <c r="AC11" s="35"/>
      <c r="AD11" s="35"/>
      <c r="AE11" s="35"/>
      <c r="AG11" s="35"/>
      <c r="AH11" s="35"/>
      <c r="AI11" s="35"/>
      <c r="AJ11" s="35"/>
    </row>
    <row r="12" spans="1:36" ht="18" customHeight="1">
      <c r="A12" s="6" t="s">
        <v>26</v>
      </c>
      <c r="B12" s="48" t="s">
        <v>25</v>
      </c>
      <c r="C12" s="47">
        <v>3.5662269999999999E-3</v>
      </c>
      <c r="D12" s="47">
        <v>4.4317866999999999E-3</v>
      </c>
      <c r="E12" s="47">
        <v>5.3052625000000004E-3</v>
      </c>
      <c r="F12" s="47">
        <v>6.1669206000000004E-3</v>
      </c>
      <c r="G12" s="47"/>
      <c r="H12" s="47">
        <v>2.8712678000000001E-3</v>
      </c>
      <c r="I12" s="47">
        <v>3.5939663000000002E-3</v>
      </c>
      <c r="J12" s="47">
        <v>4.3089212000000003E-3</v>
      </c>
      <c r="K12" s="47">
        <v>4.9668632999999998E-3</v>
      </c>
      <c r="L12" s="68"/>
      <c r="M12" s="47">
        <v>2.1796048000000002E-3</v>
      </c>
      <c r="N12" s="47">
        <v>2.7742558E-3</v>
      </c>
      <c r="O12" s="47">
        <v>3.3482035999999999E-3</v>
      </c>
      <c r="P12" s="47">
        <v>3.8317109999999998E-3</v>
      </c>
      <c r="Q12" s="47"/>
      <c r="R12" s="47">
        <v>1.5271941E-3</v>
      </c>
      <c r="S12" s="47">
        <v>1.9884896000000002E-3</v>
      </c>
      <c r="T12" s="47">
        <v>3.3482035999999999E-3</v>
      </c>
      <c r="U12" s="47">
        <v>2.7790764999999999E-3</v>
      </c>
      <c r="V12" s="70"/>
      <c r="W12" s="47">
        <v>9.9470003999999989E-4</v>
      </c>
      <c r="X12" s="47">
        <v>1.3346357000000001E-3</v>
      </c>
      <c r="Y12" s="47">
        <v>1.6587927000000001E-3</v>
      </c>
      <c r="Z12" s="47">
        <v>1.9228924E-3</v>
      </c>
      <c r="AA12" s="70"/>
      <c r="AB12" s="47">
        <v>6.1240934999999997E-4</v>
      </c>
      <c r="AC12" s="35"/>
      <c r="AD12" s="35"/>
      <c r="AE12" s="35"/>
      <c r="AF12" s="70"/>
      <c r="AG12" s="47"/>
      <c r="AH12" s="47"/>
      <c r="AI12" s="47"/>
      <c r="AJ12" s="47"/>
    </row>
    <row r="13" spans="1:36" ht="18" customHeight="1">
      <c r="A13" s="6" t="s">
        <v>28</v>
      </c>
      <c r="B13" s="48" t="s">
        <v>27</v>
      </c>
      <c r="C13" s="47">
        <v>3.7823610000000001E-3</v>
      </c>
      <c r="D13" s="47">
        <v>2.7749866999999999E-3</v>
      </c>
      <c r="E13" s="47">
        <v>1.8014126000000001E-3</v>
      </c>
      <c r="F13" s="47">
        <v>8.7954750999999997E-4</v>
      </c>
      <c r="G13" s="47"/>
      <c r="H13" s="47">
        <v>3.3055663999999999E-3</v>
      </c>
      <c r="I13" s="47">
        <v>2.2898449E-3</v>
      </c>
      <c r="J13" s="47">
        <v>1.3337688E-3</v>
      </c>
      <c r="K13" s="47">
        <v>4.9668656000000002E-4</v>
      </c>
      <c r="L13" s="68"/>
      <c r="M13" s="47">
        <v>2.8756021000000001E-3</v>
      </c>
      <c r="N13" s="47">
        <v>1.9071838000000001E-3</v>
      </c>
      <c r="O13" s="47">
        <v>1.0336931000000001E-3</v>
      </c>
      <c r="P13" s="47">
        <v>3.4166076999999999E-4</v>
      </c>
      <c r="Q13" s="47"/>
      <c r="R13" s="47">
        <v>2.4927288999999999E-3</v>
      </c>
      <c r="S13" s="47">
        <v>1.6018079000000001E-3</v>
      </c>
      <c r="T13" s="47">
        <v>1.0336931000000001E-3</v>
      </c>
      <c r="U13" s="47">
        <v>2.801018E-4</v>
      </c>
      <c r="V13" s="70"/>
      <c r="W13" s="47">
        <v>2.1645437999999999E-3</v>
      </c>
      <c r="X13" s="47">
        <v>1.3669324000000001E-3</v>
      </c>
      <c r="Y13" s="47">
        <v>7.1461368999999996E-4</v>
      </c>
      <c r="Z13" s="47">
        <v>2.5582075000000001E-4</v>
      </c>
      <c r="AA13" s="70"/>
      <c r="AB13" s="47">
        <v>1.8774712E-3</v>
      </c>
      <c r="AC13" s="47"/>
      <c r="AD13" s="47"/>
      <c r="AE13" s="47"/>
      <c r="AF13" s="70"/>
      <c r="AG13" s="47"/>
      <c r="AH13" s="47"/>
      <c r="AI13" s="47"/>
      <c r="AJ13" s="47"/>
    </row>
    <row r="14" spans="1:36" ht="18" customHeight="1">
      <c r="A14" s="6" t="s">
        <v>30</v>
      </c>
      <c r="B14" s="48" t="s">
        <v>29</v>
      </c>
      <c r="C14" s="47">
        <v>4.9170764000000002E-4</v>
      </c>
      <c r="D14" s="47">
        <v>4.0511965000000001E-4</v>
      </c>
      <c r="E14" s="47">
        <v>3.0581725999999999E-4</v>
      </c>
      <c r="F14" s="47">
        <v>1.8921988E-4</v>
      </c>
      <c r="G14" s="47"/>
      <c r="H14" s="47">
        <v>7.6401954000000002E-4</v>
      </c>
      <c r="I14" s="47">
        <v>6.0293311000000004E-4</v>
      </c>
      <c r="J14" s="47">
        <v>4.2126065000000002E-4</v>
      </c>
      <c r="K14" s="47">
        <v>2.1712380999999999E-4</v>
      </c>
      <c r="L14" s="68"/>
      <c r="M14" s="47">
        <v>1.1521172999999999E-3</v>
      </c>
      <c r="N14" s="47">
        <v>8.9331413999999996E-4</v>
      </c>
      <c r="O14" s="47">
        <v>6.0245426000000003E-4</v>
      </c>
      <c r="P14" s="47">
        <v>2.9333967999999998E-4</v>
      </c>
      <c r="Q14" s="47"/>
      <c r="R14" s="47">
        <v>1.6517312000000001E-3</v>
      </c>
      <c r="S14" s="47">
        <v>1.2743459E-3</v>
      </c>
      <c r="T14" s="47">
        <v>6.0245426000000003E-4</v>
      </c>
      <c r="U14" s="47">
        <v>4.3115101000000002E-4</v>
      </c>
      <c r="V14" s="70"/>
      <c r="W14" s="47">
        <v>2.2610552000000002E-3</v>
      </c>
      <c r="X14" s="47">
        <v>1.7586472E-3</v>
      </c>
      <c r="Y14" s="47">
        <v>1.2041465999999999E-3</v>
      </c>
      <c r="Z14" s="47">
        <v>6.5174147999999999E-4</v>
      </c>
      <c r="AA14" s="70"/>
      <c r="AB14" s="47">
        <v>2.9545180000000002E-3</v>
      </c>
      <c r="AC14" s="47"/>
      <c r="AD14" s="47"/>
      <c r="AE14" s="47"/>
      <c r="AF14" s="70"/>
      <c r="AG14" s="47"/>
      <c r="AH14" s="47"/>
      <c r="AI14" s="47"/>
      <c r="AJ14" s="47"/>
    </row>
    <row r="15" spans="1:36" ht="18" customHeight="1">
      <c r="A15" s="6" t="s">
        <v>32</v>
      </c>
      <c r="B15" s="48" t="s">
        <v>31</v>
      </c>
      <c r="C15" s="47">
        <v>1.9435705999999999E-3</v>
      </c>
      <c r="D15" s="47">
        <v>2.0449070999999999E-3</v>
      </c>
      <c r="E15" s="47">
        <v>2.0913577000000001E-3</v>
      </c>
      <c r="F15" s="47">
        <v>2.0516852999999998E-3</v>
      </c>
      <c r="G15" s="47"/>
      <c r="H15" s="47">
        <v>2.6248477999999999E-3</v>
      </c>
      <c r="I15" s="47">
        <v>2.8173771999999999E-3</v>
      </c>
      <c r="J15" s="47">
        <v>2.9112018999999999E-3</v>
      </c>
      <c r="K15" s="47">
        <v>2.7895033000000001E-3</v>
      </c>
      <c r="L15" s="68"/>
      <c r="M15" s="47">
        <v>3.0966787000000001E-3</v>
      </c>
      <c r="N15" s="47">
        <v>3.2923185E-3</v>
      </c>
      <c r="O15" s="47">
        <v>3.3301596999999999E-3</v>
      </c>
      <c r="P15" s="47">
        <v>3.0233389999999999E-3</v>
      </c>
      <c r="Q15" s="47"/>
      <c r="R15" s="47">
        <v>3.3628111999999999E-3</v>
      </c>
      <c r="S15" s="47">
        <v>3.5220385000000001E-3</v>
      </c>
      <c r="T15" s="47">
        <v>3.3301596999999999E-3</v>
      </c>
      <c r="U15" s="47">
        <v>3.0086456000000001E-3</v>
      </c>
      <c r="V15" s="70"/>
      <c r="W15" s="47">
        <v>3.4098574000000002E-3</v>
      </c>
      <c r="X15" s="47">
        <v>3.5074883000000001E-3</v>
      </c>
      <c r="Y15" s="47">
        <v>3.3666261999999998E-3</v>
      </c>
      <c r="Z15" s="47">
        <v>2.8366172000000001E-3</v>
      </c>
      <c r="AA15" s="70"/>
      <c r="AB15" s="47">
        <v>3.2905398000000002E-3</v>
      </c>
      <c r="AC15" s="47"/>
      <c r="AD15" s="47"/>
      <c r="AE15" s="47"/>
      <c r="AF15" s="70"/>
      <c r="AG15" s="47"/>
      <c r="AH15" s="47"/>
      <c r="AI15" s="47"/>
      <c r="AJ15" s="47"/>
    </row>
    <row r="16" spans="1:36" ht="18" customHeight="1">
      <c r="A16" s="10"/>
      <c r="B16" s="48" t="s">
        <v>33</v>
      </c>
      <c r="C16" s="47">
        <v>2.1597045999999999E-3</v>
      </c>
      <c r="D16" s="47">
        <v>2.3881071E-3</v>
      </c>
      <c r="E16" s="47">
        <v>2.5875078E-3</v>
      </c>
      <c r="F16" s="47">
        <v>2.7643122000000002E-3</v>
      </c>
      <c r="G16" s="47"/>
      <c r="H16" s="47">
        <v>3.0591464000000001E-3</v>
      </c>
      <c r="I16" s="47">
        <v>3.5132559000000002E-3</v>
      </c>
      <c r="J16" s="47">
        <v>3.9360495999999998E-3</v>
      </c>
      <c r="K16" s="47">
        <v>4.3193264999999998E-3</v>
      </c>
      <c r="L16" s="68"/>
      <c r="M16" s="47">
        <v>3.792676E-3</v>
      </c>
      <c r="N16" s="47">
        <v>4.4252464999999996E-3</v>
      </c>
      <c r="O16" s="47">
        <v>5.0156491999999997E-3</v>
      </c>
      <c r="P16" s="47">
        <v>5.5332886999999997E-3</v>
      </c>
      <c r="Q16" s="47"/>
      <c r="R16" s="47">
        <v>4.3283460000000003E-3</v>
      </c>
      <c r="S16" s="47">
        <v>5.1353568E-3</v>
      </c>
      <c r="T16" s="47">
        <v>5.0156491999999997E-3</v>
      </c>
      <c r="U16" s="47">
        <v>6.5096709000000003E-3</v>
      </c>
      <c r="V16" s="70"/>
      <c r="W16" s="47">
        <v>4.5797010999999999E-3</v>
      </c>
      <c r="X16" s="47">
        <v>5.5397850000000002E-3</v>
      </c>
      <c r="Y16" s="47">
        <v>6.4224471999999996E-3</v>
      </c>
      <c r="Z16" s="47">
        <v>7.1695455E-3</v>
      </c>
      <c r="AA16" s="70"/>
      <c r="AB16" s="47">
        <v>4.5556017000000001E-3</v>
      </c>
      <c r="AC16" s="47"/>
      <c r="AD16" s="47"/>
      <c r="AE16" s="47"/>
      <c r="AF16" s="70"/>
      <c r="AG16" s="47"/>
      <c r="AH16" s="47"/>
      <c r="AI16" s="47"/>
      <c r="AJ16" s="47"/>
    </row>
    <row r="17" spans="1:36" ht="12.75" customHeight="1">
      <c r="A17" s="6"/>
      <c r="B17" s="48" t="s">
        <v>34</v>
      </c>
      <c r="C17" s="47">
        <v>9.2397547000000002E-4</v>
      </c>
      <c r="D17" s="47">
        <v>1.0915196E-3</v>
      </c>
      <c r="E17" s="47">
        <v>1.2981175000000001E-3</v>
      </c>
      <c r="F17" s="47">
        <v>1.6144737E-3</v>
      </c>
      <c r="G17" s="47"/>
      <c r="H17" s="47">
        <v>1.6326168E-3</v>
      </c>
      <c r="I17" s="47">
        <v>1.9946904000000001E-3</v>
      </c>
      <c r="J17" s="47">
        <v>2.4709558999999998E-3</v>
      </c>
      <c r="K17" s="47">
        <v>3.2767703000000001E-3</v>
      </c>
      <c r="L17" s="68"/>
      <c r="M17" s="47">
        <v>2.5441118999999998E-3</v>
      </c>
      <c r="N17" s="47">
        <v>3.1591700000000002E-3</v>
      </c>
      <c r="O17" s="47">
        <v>3.9734332000000002E-3</v>
      </c>
      <c r="P17" s="47">
        <v>5.3132392000000001E-3</v>
      </c>
      <c r="Q17" s="47"/>
      <c r="R17" s="47">
        <v>3.5828008E-3</v>
      </c>
      <c r="S17" s="47">
        <v>4.5009825000000003E-3</v>
      </c>
      <c r="T17" s="47">
        <v>3.9734332000000002E-3</v>
      </c>
      <c r="U17" s="47">
        <v>7.4332015999999997E-3</v>
      </c>
      <c r="V17" s="70"/>
      <c r="W17" s="47">
        <v>4.6007427000000004E-3</v>
      </c>
      <c r="X17" s="47">
        <v>5.8232405999999997E-3</v>
      </c>
      <c r="Y17" s="47">
        <v>7.3157887E-3</v>
      </c>
      <c r="Z17" s="47">
        <v>9.3175982000000008E-3</v>
      </c>
      <c r="AA17" s="70"/>
      <c r="AB17" s="47">
        <v>5.4846417E-3</v>
      </c>
      <c r="AC17" s="47"/>
      <c r="AD17" s="47"/>
      <c r="AE17" s="47"/>
      <c r="AF17" s="70"/>
      <c r="AG17" s="47"/>
      <c r="AH17" s="47"/>
      <c r="AI17" s="47"/>
      <c r="AJ17" s="47"/>
    </row>
    <row r="18" spans="1:36" ht="12.75" customHeight="1">
      <c r="A18" s="16" t="s">
        <v>55</v>
      </c>
      <c r="B18" s="17" t="s">
        <v>56</v>
      </c>
      <c r="C18" s="71">
        <f>SUM(C12:C17)</f>
        <v>1.2867546309999998E-2</v>
      </c>
      <c r="D18" s="71">
        <f>SUM(D12:D17)</f>
        <v>1.3136426849999999E-2</v>
      </c>
      <c r="E18" s="71">
        <f>SUM(E12:E17)</f>
        <v>1.3389475359999998E-2</v>
      </c>
      <c r="F18" s="71">
        <f>SUM(F12:F17)</f>
        <v>1.3666159190000002E-2</v>
      </c>
      <c r="G18" s="71"/>
      <c r="H18" s="71">
        <f>SUM(H12:H17)</f>
        <v>1.425746474E-2</v>
      </c>
      <c r="I18" s="71">
        <f>SUM(I12:I17)</f>
        <v>1.4812067810000001E-2</v>
      </c>
      <c r="J18" s="71">
        <f>SUM(J12:J17)</f>
        <v>1.5382158050000001E-2</v>
      </c>
      <c r="K18" s="71">
        <f>SUM(K12:K17)</f>
        <v>1.606627377E-2</v>
      </c>
      <c r="L18" s="68"/>
      <c r="M18" s="71">
        <f>SUM(M12:M17)</f>
        <v>1.5640790799999998E-2</v>
      </c>
      <c r="N18" s="71">
        <f>SUM(N12:N17)</f>
        <v>1.6451488739999999E-2</v>
      </c>
      <c r="O18" s="71">
        <f>SUM(O12:O17)</f>
        <v>1.7303593060000001E-2</v>
      </c>
      <c r="P18" s="71">
        <f>SUM(P12:P17)</f>
        <v>1.833657835E-2</v>
      </c>
      <c r="Q18" s="71"/>
      <c r="R18" s="71">
        <f>SUM(R12:R17)</f>
        <v>1.6945612200000001E-2</v>
      </c>
      <c r="S18" s="71">
        <f>SUM(S12:S17)</f>
        <v>1.8023021199999999E-2</v>
      </c>
      <c r="T18" s="71">
        <f>SUM(T12:T17)</f>
        <v>1.7303593060000001E-2</v>
      </c>
      <c r="U18" s="71">
        <f>SUM(U12:U17)</f>
        <v>2.0441847409999998E-2</v>
      </c>
      <c r="V18" s="70"/>
      <c r="W18" s="71">
        <f>SUM(W12:W17)</f>
        <v>1.8010600240000001E-2</v>
      </c>
      <c r="X18" s="71">
        <f>SUM(X12:X17)</f>
        <v>1.9330729200000001E-2</v>
      </c>
      <c r="Y18" s="71">
        <f>SUM(Y12:Y17)</f>
        <v>2.068241509E-2</v>
      </c>
      <c r="Z18" s="71">
        <f>SUM(Z12:Z17)</f>
        <v>2.215421553E-2</v>
      </c>
      <c r="AA18" s="70"/>
      <c r="AB18" s="71">
        <f>SUM(AB12:AB17)</f>
        <v>1.8775181750000002E-2</v>
      </c>
      <c r="AC18" s="71"/>
      <c r="AD18" s="71"/>
      <c r="AE18" s="71"/>
      <c r="AF18" s="70"/>
      <c r="AG18" s="71"/>
      <c r="AH18" s="71"/>
      <c r="AI18" s="71"/>
      <c r="AJ18" s="71"/>
    </row>
    <row r="19" spans="1:36" ht="12.75" customHeight="1">
      <c r="B19" s="8"/>
      <c r="C19" s="71"/>
      <c r="D19" s="71"/>
      <c r="E19" s="71"/>
      <c r="F19" s="71"/>
      <c r="G19" s="71"/>
      <c r="H19" s="71"/>
      <c r="I19" s="71"/>
      <c r="J19" s="71"/>
      <c r="K19" s="71"/>
      <c r="L19" s="68"/>
      <c r="M19" s="71"/>
      <c r="N19" s="71"/>
      <c r="O19" s="71"/>
      <c r="P19" s="71"/>
      <c r="Q19" s="71"/>
      <c r="R19" s="71"/>
      <c r="S19" s="71"/>
      <c r="T19" s="71"/>
      <c r="U19" s="71"/>
      <c r="V19" s="70"/>
      <c r="W19" s="71"/>
      <c r="X19" s="71"/>
      <c r="Y19" s="71"/>
      <c r="Z19" s="71"/>
      <c r="AA19" s="70"/>
      <c r="AB19" s="68"/>
      <c r="AC19" s="71"/>
      <c r="AD19" s="71"/>
      <c r="AE19" s="71"/>
      <c r="AF19" s="70"/>
      <c r="AG19" s="71"/>
      <c r="AH19" s="71"/>
      <c r="AI19" s="71"/>
      <c r="AJ19" s="71"/>
    </row>
    <row r="20" spans="1:36" ht="12.75" customHeight="1">
      <c r="A20" s="5" t="s">
        <v>26</v>
      </c>
      <c r="B20" t="s">
        <v>57</v>
      </c>
      <c r="C20" s="46">
        <v>4.6436600000000002E-7</v>
      </c>
      <c r="D20" s="20">
        <v>4.9689599999999995E-7</v>
      </c>
      <c r="E20" s="46">
        <v>5.2155599999999996E-7</v>
      </c>
      <c r="F20" s="46">
        <v>5.3128500000000001E-7</v>
      </c>
      <c r="G20" s="46"/>
      <c r="H20" s="46">
        <v>6.8602699999999998E-7</v>
      </c>
      <c r="I20" s="20">
        <v>7.4937500000000002E-7</v>
      </c>
      <c r="J20" s="46">
        <v>7.9640800000000002E-7</v>
      </c>
      <c r="K20" s="46">
        <v>7.7632999999999996E-7</v>
      </c>
      <c r="L20" s="68"/>
      <c r="M20" s="46">
        <v>6.5580300000000001E-7</v>
      </c>
      <c r="N20" s="46">
        <v>5.1320900000000005E-7</v>
      </c>
      <c r="O20" s="46">
        <v>3.5307400000000002E-8</v>
      </c>
      <c r="P20" s="46">
        <v>5.3415E-7</v>
      </c>
      <c r="Q20" s="46"/>
      <c r="R20" s="46">
        <v>1.8061E-6</v>
      </c>
      <c r="S20" s="46">
        <v>1.7588800000000001E-6</v>
      </c>
      <c r="T20" s="46">
        <v>3.5307400000000002E-8</v>
      </c>
      <c r="U20" s="46">
        <v>1.1636899999999999E-6</v>
      </c>
      <c r="V20" s="70"/>
      <c r="W20" s="46">
        <v>3.15269E-6</v>
      </c>
      <c r="X20" s="46">
        <v>3.3121999999999998E-6</v>
      </c>
      <c r="Y20" s="46">
        <v>3.1905499999999999E-6</v>
      </c>
      <c r="Z20" s="46">
        <v>2.54846E-6</v>
      </c>
      <c r="AA20" s="70"/>
      <c r="AB20" s="46">
        <v>4.3037099999999998E-6</v>
      </c>
      <c r="AC20" s="68"/>
      <c r="AD20" s="68"/>
      <c r="AE20" s="68"/>
      <c r="AF20" s="70"/>
      <c r="AG20" s="46"/>
      <c r="AH20" s="46"/>
      <c r="AI20" s="46"/>
      <c r="AJ20" s="46"/>
    </row>
    <row r="21" spans="1:36" ht="12.75" customHeight="1">
      <c r="A21" s="6"/>
      <c r="B21" s="47" t="s">
        <v>36</v>
      </c>
      <c r="C21" s="70"/>
      <c r="D21" s="72"/>
      <c r="E21" s="70"/>
      <c r="F21" s="70"/>
      <c r="G21" s="70"/>
      <c r="H21" s="70"/>
      <c r="I21" s="72"/>
      <c r="J21" s="70"/>
      <c r="K21" s="70"/>
      <c r="L21" s="68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</row>
    <row r="22" spans="1:36" ht="12.75" customHeight="1">
      <c r="A22" s="6" t="s">
        <v>28</v>
      </c>
      <c r="C22" s="70"/>
      <c r="D22" s="72"/>
      <c r="E22" s="70"/>
      <c r="F22" s="70"/>
      <c r="G22" s="70"/>
      <c r="H22" s="70"/>
      <c r="I22" s="72"/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</row>
    <row r="23" spans="1:36" ht="12.75" customHeight="1">
      <c r="A23" s="6"/>
      <c r="B23" t="s">
        <v>58</v>
      </c>
      <c r="C23" s="46">
        <v>1.21764E-6</v>
      </c>
      <c r="D23" s="20">
        <v>1.22501E-6</v>
      </c>
      <c r="E23" s="46">
        <v>1.19859E-6</v>
      </c>
      <c r="F23" s="46">
        <v>1.12045E-6</v>
      </c>
      <c r="G23" s="46"/>
      <c r="H23" s="46">
        <v>1.69443E-6</v>
      </c>
      <c r="I23" s="20">
        <v>1.7101599999999999E-6</v>
      </c>
      <c r="J23" s="46">
        <v>1.66623E-6</v>
      </c>
      <c r="K23" s="46">
        <v>1.5033099999999999E-6</v>
      </c>
      <c r="L23" s="70"/>
      <c r="M23" s="46">
        <v>2.1243999999999999E-6</v>
      </c>
      <c r="N23" s="46">
        <v>2.0928199999999998E-6</v>
      </c>
      <c r="O23" s="46">
        <v>1.96631E-6</v>
      </c>
      <c r="P23" s="46">
        <v>1.6583399999999999E-6</v>
      </c>
      <c r="Q23" s="46"/>
      <c r="R23" s="46">
        <v>2.5072700000000001E-6</v>
      </c>
      <c r="S23" s="46">
        <v>2.3981899999999999E-6</v>
      </c>
      <c r="T23" s="46">
        <v>1.96631E-6</v>
      </c>
      <c r="U23" s="46">
        <v>1.7199E-6</v>
      </c>
      <c r="V23" s="70"/>
      <c r="W23" s="46">
        <v>2.83546E-6</v>
      </c>
      <c r="X23" s="46">
        <v>2.6330699999999998E-6</v>
      </c>
      <c r="Y23" s="46">
        <v>2.2853899999999999E-6</v>
      </c>
      <c r="Z23" s="46">
        <v>1.74418E-6</v>
      </c>
      <c r="AA23" s="70"/>
      <c r="AB23" s="46">
        <v>3.1225300000000002E-6</v>
      </c>
      <c r="AC23" s="68"/>
      <c r="AD23" s="68"/>
      <c r="AE23" s="68"/>
      <c r="AF23" s="70"/>
      <c r="AG23" s="46"/>
      <c r="AH23" s="46"/>
      <c r="AI23" s="46"/>
      <c r="AJ23" s="46"/>
    </row>
    <row r="24" spans="1:36" ht="12.75" customHeight="1">
      <c r="A24" s="6" t="s">
        <v>38</v>
      </c>
      <c r="B24" s="47" t="s">
        <v>39</v>
      </c>
      <c r="C24" s="70"/>
      <c r="D24" s="72"/>
      <c r="E24" s="70"/>
      <c r="F24" s="70"/>
      <c r="G24" s="70"/>
      <c r="H24" s="70"/>
      <c r="I24" s="72"/>
      <c r="J24" s="70"/>
      <c r="K24" s="70"/>
      <c r="L24" s="70"/>
      <c r="M24" s="46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</row>
    <row r="25" spans="1:36" ht="12.75" customHeight="1">
      <c r="A25" s="6"/>
      <c r="C25" s="70"/>
      <c r="D25" s="72"/>
      <c r="E25" s="70"/>
      <c r="F25" s="70"/>
      <c r="G25" s="70"/>
      <c r="H25" s="70"/>
      <c r="I25" s="72"/>
      <c r="J25" s="70"/>
      <c r="K25" s="70"/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</row>
    <row r="26" spans="1:36" ht="12.75" customHeight="1">
      <c r="A26" s="6"/>
      <c r="B26" t="s">
        <v>59</v>
      </c>
      <c r="C26" s="46">
        <v>9.6940699999999997E-7</v>
      </c>
      <c r="D26" s="20">
        <v>1.0713199999999999E-6</v>
      </c>
      <c r="E26" s="46">
        <v>1.1731799999999999E-6</v>
      </c>
      <c r="F26" s="46">
        <v>1.3017899999999999E-6</v>
      </c>
      <c r="G26" s="46"/>
      <c r="H26" s="46">
        <v>1.44271E-6</v>
      </c>
      <c r="I26" s="20">
        <v>1.6566599999999999E-6</v>
      </c>
      <c r="J26" s="46">
        <v>1.8946700000000001E-6</v>
      </c>
      <c r="K26" s="46">
        <v>2.25681E-6</v>
      </c>
      <c r="L26" s="70"/>
      <c r="M26" s="46">
        <v>2.1645900000000001E-6</v>
      </c>
      <c r="N26" s="46">
        <v>2.7125299999999998E-6</v>
      </c>
      <c r="O26" s="46">
        <v>3.6164900000000002E-6</v>
      </c>
      <c r="P26" s="46">
        <v>3.6341399999999999E-6</v>
      </c>
      <c r="Q26" s="46"/>
      <c r="R26" s="46">
        <v>1.6667000000000001E-6</v>
      </c>
      <c r="S26" s="46">
        <v>2.2526299999999998E-6</v>
      </c>
      <c r="T26" s="46">
        <v>3.6164900000000002E-6</v>
      </c>
      <c r="U26" s="46">
        <v>4.0572400000000001E-6</v>
      </c>
      <c r="V26" s="70"/>
      <c r="W26" s="46">
        <v>8.5260999999999996E-7</v>
      </c>
      <c r="X26" s="46">
        <v>1.35316E-6</v>
      </c>
      <c r="Y26" s="46">
        <v>2.1506499999999999E-6</v>
      </c>
      <c r="Z26" s="46">
        <v>3.5286399999999998E-6</v>
      </c>
      <c r="AA26" s="70"/>
      <c r="AB26" s="46">
        <v>8.38828E-8</v>
      </c>
      <c r="AC26" s="68"/>
      <c r="AD26" s="68"/>
      <c r="AE26" s="68"/>
      <c r="AF26" s="70"/>
      <c r="AG26" s="46"/>
      <c r="AH26" s="46"/>
      <c r="AI26" s="46"/>
      <c r="AJ26" s="46"/>
    </row>
    <row r="27" spans="1:36" ht="12.75" customHeight="1">
      <c r="A27" s="6" t="s">
        <v>41</v>
      </c>
      <c r="B27" s="47" t="s">
        <v>42</v>
      </c>
    </row>
    <row r="28" spans="1:36" ht="12.75" customHeight="1">
      <c r="A28" s="10"/>
    </row>
    <row r="29" spans="1:36" ht="12.75" customHeight="1">
      <c r="A29" s="6">
        <v>1</v>
      </c>
      <c r="B29" s="48" t="s">
        <v>43</v>
      </c>
      <c r="C29" s="47">
        <v>28.6755</v>
      </c>
      <c r="D29" s="47">
        <v>26.136900000000001</v>
      </c>
      <c r="E29" s="47">
        <v>24.2105</v>
      </c>
      <c r="F29" s="47">
        <v>22.913499999999999</v>
      </c>
      <c r="G29" s="47"/>
      <c r="H29" s="47">
        <v>42.574599999999997</v>
      </c>
      <c r="I29" s="47">
        <v>40.1006</v>
      </c>
      <c r="J29" s="47">
        <v>38.444000000000003</v>
      </c>
      <c r="K29" s="47">
        <v>37.914200000000001</v>
      </c>
      <c r="M29" s="47">
        <v>56.407899999999998</v>
      </c>
      <c r="N29" s="47">
        <v>53.7624</v>
      </c>
      <c r="O29" s="47">
        <v>52.168500000000002</v>
      </c>
      <c r="P29" s="47">
        <v>52.1036</v>
      </c>
      <c r="Q29" s="47"/>
      <c r="R29" s="47">
        <v>69.456100000000006</v>
      </c>
      <c r="S29" s="47">
        <v>66.858500000000006</v>
      </c>
      <c r="T29" s="47">
        <v>52.168500000000002</v>
      </c>
      <c r="U29" s="47">
        <v>65.261499999999998</v>
      </c>
      <c r="W29" s="47">
        <v>80.105999999999995</v>
      </c>
      <c r="X29" s="47">
        <v>77.756100000000004</v>
      </c>
      <c r="Y29" s="47">
        <v>76.302999999999997</v>
      </c>
      <c r="Z29" s="47">
        <v>75.963800000000006</v>
      </c>
      <c r="AB29" s="47">
        <v>87.751800000000003</v>
      </c>
      <c r="AC29" s="47"/>
      <c r="AD29" s="47"/>
      <c r="AE29" s="47"/>
      <c r="AG29" s="47"/>
      <c r="AH29" s="47"/>
      <c r="AI29" s="47"/>
      <c r="AJ29" s="47"/>
    </row>
    <row r="30" spans="1:36" ht="12.75" customHeight="1">
      <c r="A30" s="11"/>
      <c r="B30" s="48" t="s">
        <v>44</v>
      </c>
      <c r="C30" s="47">
        <v>24.352799999999998</v>
      </c>
      <c r="D30" s="47">
        <v>30.625299999999999</v>
      </c>
      <c r="E30" s="47">
        <v>39.9529</v>
      </c>
      <c r="F30" s="47">
        <v>56.022599999999997</v>
      </c>
      <c r="G30" s="47"/>
      <c r="H30" s="47">
        <v>33.8887</v>
      </c>
      <c r="I30" s="47">
        <v>42.753900000000002</v>
      </c>
      <c r="J30" s="47">
        <v>55.540999999999997</v>
      </c>
      <c r="K30" s="47">
        <v>75.165700000000001</v>
      </c>
      <c r="M30" s="47">
        <v>42.488</v>
      </c>
      <c r="N30" s="47">
        <v>52.320399999999999</v>
      </c>
      <c r="O30" s="47">
        <v>65.543599999999998</v>
      </c>
      <c r="P30" s="47">
        <v>82.917000000000002</v>
      </c>
      <c r="Q30" s="47"/>
      <c r="R30" s="47">
        <v>50.145400000000002</v>
      </c>
      <c r="S30" s="47">
        <v>59.954799999999999</v>
      </c>
      <c r="T30" s="47">
        <v>65.543599999999998</v>
      </c>
      <c r="U30" s="47">
        <v>85.994900000000001</v>
      </c>
      <c r="W30" s="47">
        <v>56.709099999999999</v>
      </c>
      <c r="X30" s="47">
        <v>65.826700000000002</v>
      </c>
      <c r="Y30" s="47">
        <v>76.179500000000004</v>
      </c>
      <c r="Z30" s="47">
        <v>87.209000000000003</v>
      </c>
      <c r="AB30" s="47">
        <v>62.450600000000001</v>
      </c>
      <c r="AC30" s="47"/>
      <c r="AD30" s="47"/>
      <c r="AE30" s="47"/>
      <c r="AG30" s="47"/>
      <c r="AH30" s="47"/>
      <c r="AI30" s="47"/>
      <c r="AJ30" s="47"/>
    </row>
    <row r="31" spans="1:36" ht="12.75" customHeight="1">
      <c r="B31" s="48" t="s">
        <v>60</v>
      </c>
      <c r="C31" s="26">
        <f>C26/(C20+C26)</f>
        <v>0.67612306829602731</v>
      </c>
      <c r="D31" s="26">
        <f>D26/(D20+D26)</f>
        <v>0.68314568911425466</v>
      </c>
      <c r="E31" s="26">
        <f>E26/(E20+E26)</f>
        <v>0.69224941229784465</v>
      </c>
      <c r="F31" s="26">
        <f>F26/(F20+F26)</f>
        <v>0.71016734176179375</v>
      </c>
      <c r="G31" s="26"/>
      <c r="H31" s="26">
        <f>H26/(H20+H26)</f>
        <v>0.67773050405005408</v>
      </c>
      <c r="I31" s="26">
        <f>I26/(I20+I26)</f>
        <v>0.68854359973982093</v>
      </c>
      <c r="J31" s="26">
        <f>J26/(J20+J26)</f>
        <v>0.70405614404339079</v>
      </c>
      <c r="K31" s="26">
        <f>K26/(K20+K26)</f>
        <v>0.74405071971620163</v>
      </c>
      <c r="L31" s="26"/>
      <c r="M31" s="26">
        <f>M26/(M20+M26)</f>
        <v>0.76747814932174352</v>
      </c>
      <c r="N31" s="26">
        <f>N26/(N20+N26)</f>
        <v>0.84090188325837889</v>
      </c>
      <c r="O31" s="26">
        <f>O26/(O20+O26)</f>
        <v>0.99033150086584754</v>
      </c>
      <c r="P31" s="26">
        <f>P26/(P20+P26)</f>
        <v>0.87185392571054321</v>
      </c>
      <c r="Q31" s="26"/>
      <c r="R31" s="26">
        <f>R26/(R20+R26)</f>
        <v>0.47992973969131536</v>
      </c>
      <c r="S31" s="26">
        <f>S26/(S20+S26)</f>
        <v>0.56154166386223647</v>
      </c>
      <c r="T31" s="26">
        <f>T26/(T20+T26)</f>
        <v>0.99033150086584754</v>
      </c>
      <c r="U31" s="26">
        <f>U26/(U20+U26)</f>
        <v>0.77711059140804417</v>
      </c>
      <c r="V31" s="26"/>
      <c r="W31" s="26">
        <f>W26/(W20+W26)</f>
        <v>0.21287044665817789</v>
      </c>
      <c r="X31" s="26">
        <f>X26/(X20+X26)</f>
        <v>0.29004406948231221</v>
      </c>
      <c r="Y31" s="26">
        <f>Y26/(Y20+Y26)</f>
        <v>0.40265296188122518</v>
      </c>
      <c r="Z31" s="26">
        <f>Z26/(Z20+Z26)</f>
        <v>0.5806453736157049</v>
      </c>
      <c r="AA31" s="26"/>
      <c r="AB31" s="26">
        <f>AB26/(AB20+AB26)</f>
        <v>1.9118182525962757E-2</v>
      </c>
      <c r="AC31" s="26"/>
      <c r="AD31" s="26"/>
      <c r="AE31" s="26"/>
      <c r="AF31" s="26"/>
      <c r="AG31" s="26"/>
      <c r="AH31" s="26"/>
      <c r="AI31" s="26"/>
      <c r="AJ31" s="26"/>
    </row>
    <row r="32" spans="1:36" ht="12.75" customHeight="1">
      <c r="B32" s="48" t="s">
        <v>46</v>
      </c>
      <c r="C32" s="26">
        <f>C17/C14</f>
        <v>1.8791155451641954</v>
      </c>
      <c r="D32" s="26">
        <f>D17/D14</f>
        <v>2.6943141365766876</v>
      </c>
      <c r="E32" s="26">
        <f>E17/E14</f>
        <v>4.2447489719841194</v>
      </c>
      <c r="F32" s="26">
        <f>F17/F14</f>
        <v>8.5322625719876797</v>
      </c>
      <c r="G32" s="26"/>
      <c r="H32" s="26">
        <f>H17/H14</f>
        <v>2.1368783316719884</v>
      </c>
      <c r="I32" s="26">
        <f>I17/I14</f>
        <v>3.3083112652413464</v>
      </c>
      <c r="J32" s="26">
        <f>J17/J14</f>
        <v>5.8656223884191405</v>
      </c>
      <c r="K32" s="26">
        <f>K17/K14</f>
        <v>15.091713340881409</v>
      </c>
      <c r="L32" s="26"/>
      <c r="M32" s="26">
        <f>M17/M14</f>
        <v>2.2082056228128857</v>
      </c>
      <c r="N32" s="26">
        <f>N17/N14</f>
        <v>3.5364603094718734</v>
      </c>
      <c r="O32" s="26">
        <f>O17/O14</f>
        <v>6.5954105793857281</v>
      </c>
      <c r="P32" s="26">
        <f>P17/P14</f>
        <v>18.112923556744864</v>
      </c>
      <c r="Q32" s="26"/>
      <c r="R32" s="26">
        <f>R17/R14</f>
        <v>2.1691185587582287</v>
      </c>
      <c r="S32" s="26">
        <f>S17/S14</f>
        <v>3.5319943352899714</v>
      </c>
      <c r="T32" s="26">
        <f>T17/T14</f>
        <v>6.5954105793857281</v>
      </c>
      <c r="U32" s="26">
        <f>U17/U14</f>
        <v>17.240366896044147</v>
      </c>
      <c r="V32" s="26"/>
      <c r="W32" s="26">
        <f>W17/W14</f>
        <v>2.0347768157097623</v>
      </c>
      <c r="X32" s="26">
        <f>X17/X14</f>
        <v>3.3112045440381674</v>
      </c>
      <c r="Y32" s="26">
        <f>Y17/Y14</f>
        <v>6.0754967044710337</v>
      </c>
      <c r="Z32" s="26">
        <f>Z17/Z14</f>
        <v>14.296463376859181</v>
      </c>
      <c r="AA32" s="26"/>
      <c r="AB32" s="26">
        <f>AB17/AB14</f>
        <v>1.8563575175375475</v>
      </c>
      <c r="AC32" s="26"/>
      <c r="AD32" s="26"/>
      <c r="AE32" s="26"/>
      <c r="AF32" s="26"/>
      <c r="AG32" s="26"/>
      <c r="AH32" s="26"/>
      <c r="AI32" s="26"/>
      <c r="AJ32" s="26"/>
    </row>
    <row r="33" spans="2:28" ht="12.75" customHeight="1">
      <c r="B33" t="s">
        <v>46</v>
      </c>
      <c r="C33">
        <v>1.879115545164195</v>
      </c>
      <c r="D33">
        <v>2.6943141365766881</v>
      </c>
      <c r="E33">
        <v>4.2447489719841194</v>
      </c>
      <c r="F33">
        <v>8.5322625719876797</v>
      </c>
      <c r="H33">
        <v>2.1368783316719879</v>
      </c>
      <c r="I33">
        <v>3.308311265241346</v>
      </c>
      <c r="J33">
        <v>5.8656223884191414</v>
      </c>
      <c r="K33">
        <v>15.091713340881411</v>
      </c>
      <c r="M33">
        <v>2.2082056228128861</v>
      </c>
      <c r="N33">
        <v>3.536460309471873</v>
      </c>
      <c r="O33">
        <v>6.5954105793857281</v>
      </c>
      <c r="P33">
        <v>18.11292355674486</v>
      </c>
      <c r="R33">
        <v>2.1691185587582291</v>
      </c>
      <c r="S33">
        <v>3.531994335289971</v>
      </c>
      <c r="T33">
        <v>6.5954105793857281</v>
      </c>
      <c r="U33">
        <v>17.240366896044151</v>
      </c>
      <c r="W33">
        <v>2.0347768157097619</v>
      </c>
      <c r="X33">
        <v>3.311204544038167</v>
      </c>
      <c r="Y33">
        <v>6.0754967044710337</v>
      </c>
      <c r="Z33">
        <v>14.29646337685918</v>
      </c>
      <c r="AB33">
        <v>1.856357517537548</v>
      </c>
    </row>
    <row r="34" spans="2:28" ht="12.75" customHeight="1"/>
    <row r="35" spans="2:28" ht="12.75" customHeight="1"/>
    <row r="36" spans="2:28" ht="12.75" customHeight="1"/>
    <row r="37" spans="2:28" ht="13">
      <c r="C37" s="47"/>
    </row>
    <row r="38" spans="2:28" ht="13">
      <c r="C38" s="47"/>
    </row>
    <row r="39" spans="2:28" ht="13">
      <c r="C39" s="47"/>
      <c r="X39" s="46"/>
    </row>
    <row r="40" spans="2:28" ht="13">
      <c r="C40" s="47"/>
      <c r="X40" s="46"/>
    </row>
    <row r="41" spans="2:28" ht="13">
      <c r="C41" s="47"/>
      <c r="X41" s="46"/>
    </row>
    <row r="42" spans="2:28" ht="13">
      <c r="C42" s="47"/>
    </row>
    <row r="44" spans="2:28" ht="13">
      <c r="C44" s="46"/>
    </row>
    <row r="45" spans="2:28" ht="13">
      <c r="C45" s="46"/>
    </row>
    <row r="46" spans="2:28" ht="13">
      <c r="C46" s="46"/>
    </row>
    <row r="49" spans="3:3" ht="13">
      <c r="C49" s="47">
        <v>28.6755</v>
      </c>
    </row>
    <row r="50" spans="3:3" ht="13">
      <c r="C50" s="47">
        <v>24.352799999999998</v>
      </c>
    </row>
  </sheetData>
  <pageMargins left="0.39374999999999999" right="0.39374999999999999" top="0.78749999999999998" bottom="0.78749999999999998" header="0.511811023622047" footer="0.511811023622047"/>
  <pageSetup paperSize="9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BE51"/>
  <sheetViews>
    <sheetView zoomScale="85" zoomScaleNormal="85" workbookViewId="0">
      <selection activeCell="C3" sqref="C3"/>
    </sheetView>
  </sheetViews>
  <sheetFormatPr defaultRowHeight="12.5"/>
  <cols>
    <col min="2" max="2" width="31.453125" style="85" customWidth="1"/>
    <col min="3" max="4" width="12" style="85" bestFit="1" customWidth="1"/>
    <col min="5" max="5" width="10.81640625" style="85" customWidth="1"/>
    <col min="6" max="7" width="10.81640625" style="85" bestFit="1" customWidth="1"/>
    <col min="8" max="8" width="10.7265625" style="85" customWidth="1"/>
    <col min="9" max="9" width="11.81640625" style="85" bestFit="1" customWidth="1"/>
    <col min="11" max="15" width="10.81640625" style="85" bestFit="1" customWidth="1"/>
    <col min="16" max="16" width="11.81640625" style="85" bestFit="1" customWidth="1"/>
    <col min="17" max="17" width="10.81640625" style="85" bestFit="1" customWidth="1"/>
    <col min="19" max="25" width="10.81640625" style="85" bestFit="1" customWidth="1"/>
    <col min="27" max="33" width="10.81640625" style="85" bestFit="1" customWidth="1"/>
    <col min="35" max="41" width="10.81640625" style="85" bestFit="1" customWidth="1"/>
    <col min="42" max="42" width="9.1796875" style="85" customWidth="1"/>
    <col min="43" max="49" width="10.81640625" style="85" bestFit="1" customWidth="1"/>
    <col min="51" max="51" width="12.81640625" style="85" bestFit="1" customWidth="1"/>
    <col min="52" max="57" width="10.81640625" style="85" bestFit="1" customWidth="1"/>
  </cols>
  <sheetData>
    <row r="2" spans="1:57" ht="13">
      <c r="A2" s="5"/>
      <c r="B2" s="48" t="s">
        <v>47</v>
      </c>
      <c r="C2" s="32" t="s">
        <v>9</v>
      </c>
      <c r="D2" s="35" t="s">
        <v>9</v>
      </c>
      <c r="E2" s="35" t="s">
        <v>9</v>
      </c>
      <c r="F2" s="35" t="s">
        <v>9</v>
      </c>
      <c r="G2" s="35" t="s">
        <v>9</v>
      </c>
      <c r="H2" s="35" t="s">
        <v>9</v>
      </c>
      <c r="I2" s="35" t="s">
        <v>9</v>
      </c>
      <c r="J2" s="35"/>
      <c r="K2" s="32" t="s">
        <v>61</v>
      </c>
      <c r="L2" s="35" t="s">
        <v>61</v>
      </c>
      <c r="M2" s="35" t="s">
        <v>61</v>
      </c>
      <c r="N2" s="35" t="s">
        <v>61</v>
      </c>
      <c r="O2" s="35" t="s">
        <v>61</v>
      </c>
      <c r="P2" s="35" t="s">
        <v>61</v>
      </c>
      <c r="Q2" s="35" t="s">
        <v>61</v>
      </c>
      <c r="R2" s="35"/>
      <c r="S2" s="35" t="s">
        <v>10</v>
      </c>
      <c r="T2" s="32" t="s">
        <v>10</v>
      </c>
      <c r="U2" s="35" t="s">
        <v>10</v>
      </c>
      <c r="V2" s="35" t="s">
        <v>10</v>
      </c>
      <c r="W2" s="35" t="s">
        <v>10</v>
      </c>
      <c r="X2" s="35" t="s">
        <v>10</v>
      </c>
      <c r="Y2" s="35" t="s">
        <v>10</v>
      </c>
      <c r="Z2" s="35"/>
      <c r="AA2" s="35" t="s">
        <v>62</v>
      </c>
      <c r="AB2" s="35" t="s">
        <v>62</v>
      </c>
      <c r="AC2" s="32" t="s">
        <v>62</v>
      </c>
      <c r="AD2" s="35" t="s">
        <v>62</v>
      </c>
      <c r="AE2" s="35" t="s">
        <v>62</v>
      </c>
      <c r="AF2" s="35" t="s">
        <v>62</v>
      </c>
      <c r="AG2" s="35" t="s">
        <v>62</v>
      </c>
      <c r="AI2" s="35" t="s">
        <v>11</v>
      </c>
      <c r="AJ2" s="35" t="s">
        <v>11</v>
      </c>
      <c r="AK2" s="35" t="s">
        <v>11</v>
      </c>
      <c r="AL2" s="35" t="s">
        <v>11</v>
      </c>
      <c r="AM2" s="35" t="s">
        <v>11</v>
      </c>
      <c r="AN2" s="35" t="s">
        <v>11</v>
      </c>
      <c r="AO2" s="35" t="s">
        <v>11</v>
      </c>
      <c r="AP2" s="35"/>
      <c r="AQ2" s="35" t="s">
        <v>63</v>
      </c>
      <c r="AR2" s="35" t="s">
        <v>63</v>
      </c>
      <c r="AS2" s="35" t="s">
        <v>63</v>
      </c>
      <c r="AT2" s="32" t="s">
        <v>63</v>
      </c>
      <c r="AU2" s="35" t="s">
        <v>63</v>
      </c>
      <c r="AV2" s="35" t="s">
        <v>63</v>
      </c>
      <c r="AW2" s="35"/>
      <c r="AY2" s="35" t="s">
        <v>12</v>
      </c>
      <c r="AZ2" s="35" t="s">
        <v>12</v>
      </c>
      <c r="BA2" s="35" t="s">
        <v>12</v>
      </c>
      <c r="BB2" s="35" t="s">
        <v>12</v>
      </c>
      <c r="BC2" s="32" t="s">
        <v>12</v>
      </c>
      <c r="BD2" s="35" t="s">
        <v>12</v>
      </c>
      <c r="BE2" s="35" t="s">
        <v>12</v>
      </c>
    </row>
    <row r="3" spans="1:57">
      <c r="A3" s="6" t="s">
        <v>38</v>
      </c>
      <c r="B3" s="48" t="s">
        <v>49</v>
      </c>
      <c r="C3">
        <v>101325</v>
      </c>
      <c r="D3">
        <v>101325</v>
      </c>
      <c r="E3">
        <v>101325</v>
      </c>
      <c r="F3">
        <v>101325</v>
      </c>
      <c r="G3">
        <v>101325</v>
      </c>
      <c r="H3">
        <v>101325</v>
      </c>
      <c r="I3">
        <v>101325</v>
      </c>
      <c r="K3">
        <v>101325</v>
      </c>
      <c r="L3">
        <v>101325</v>
      </c>
      <c r="M3">
        <v>101325</v>
      </c>
      <c r="N3">
        <v>101325</v>
      </c>
      <c r="O3">
        <v>101325</v>
      </c>
      <c r="P3">
        <v>101325</v>
      </c>
      <c r="Q3">
        <v>101325</v>
      </c>
      <c r="S3">
        <v>101325</v>
      </c>
      <c r="T3">
        <v>101325</v>
      </c>
      <c r="U3">
        <v>101325</v>
      </c>
      <c r="V3">
        <v>101325</v>
      </c>
      <c r="W3">
        <v>101325</v>
      </c>
      <c r="X3">
        <v>101325</v>
      </c>
      <c r="Y3">
        <v>101325</v>
      </c>
      <c r="AA3">
        <v>101325</v>
      </c>
      <c r="AB3">
        <v>101325</v>
      </c>
      <c r="AC3">
        <v>101325</v>
      </c>
      <c r="AD3">
        <v>101325</v>
      </c>
      <c r="AE3">
        <v>101325</v>
      </c>
      <c r="AF3">
        <v>101325</v>
      </c>
      <c r="AG3">
        <v>101325</v>
      </c>
      <c r="AI3">
        <v>101325</v>
      </c>
      <c r="AJ3">
        <v>101325</v>
      </c>
      <c r="AK3">
        <v>101325</v>
      </c>
      <c r="AL3">
        <v>101325</v>
      </c>
      <c r="AM3">
        <v>101325</v>
      </c>
      <c r="AN3">
        <v>101325</v>
      </c>
      <c r="AO3">
        <v>101325</v>
      </c>
      <c r="AQ3">
        <v>101325</v>
      </c>
      <c r="AR3">
        <v>101325</v>
      </c>
      <c r="AS3">
        <v>101325</v>
      </c>
      <c r="AT3">
        <v>101325</v>
      </c>
      <c r="AU3">
        <v>101325</v>
      </c>
      <c r="AV3">
        <v>101325</v>
      </c>
      <c r="AW3">
        <v>101325</v>
      </c>
      <c r="AY3">
        <v>101325</v>
      </c>
      <c r="AZ3">
        <v>101325</v>
      </c>
      <c r="BA3">
        <v>101325</v>
      </c>
      <c r="BB3">
        <v>101325</v>
      </c>
      <c r="BC3">
        <v>101325</v>
      </c>
      <c r="BD3">
        <v>101325</v>
      </c>
      <c r="BE3">
        <v>101325</v>
      </c>
    </row>
    <row r="4" spans="1:57">
      <c r="A4" s="6" t="s">
        <v>50</v>
      </c>
      <c r="B4" s="48" t="s">
        <v>51</v>
      </c>
      <c r="C4">
        <v>0.01</v>
      </c>
      <c r="D4">
        <v>0.01</v>
      </c>
      <c r="E4">
        <v>0.01</v>
      </c>
      <c r="F4">
        <v>0.01</v>
      </c>
      <c r="G4">
        <v>0.01</v>
      </c>
      <c r="H4">
        <v>0.01</v>
      </c>
      <c r="I4">
        <v>0.01</v>
      </c>
      <c r="K4">
        <v>0.01</v>
      </c>
      <c r="L4">
        <v>0.01</v>
      </c>
      <c r="M4">
        <v>0.01</v>
      </c>
      <c r="N4">
        <v>0.01</v>
      </c>
      <c r="O4">
        <v>0.01</v>
      </c>
      <c r="P4">
        <v>0.01</v>
      </c>
      <c r="Q4">
        <v>0.01</v>
      </c>
      <c r="S4">
        <v>0.01</v>
      </c>
      <c r="T4">
        <v>0.01</v>
      </c>
      <c r="U4">
        <v>0.01</v>
      </c>
      <c r="V4">
        <v>0.01</v>
      </c>
      <c r="W4">
        <v>0.01</v>
      </c>
      <c r="X4">
        <v>0.01</v>
      </c>
      <c r="Y4">
        <v>0.01</v>
      </c>
      <c r="AA4">
        <v>0.01</v>
      </c>
      <c r="AB4">
        <v>0.01</v>
      </c>
      <c r="AC4">
        <v>0.01</v>
      </c>
      <c r="AD4">
        <v>0.01</v>
      </c>
      <c r="AE4">
        <v>0.01</v>
      </c>
      <c r="AF4">
        <v>0.01</v>
      </c>
      <c r="AG4">
        <v>0.01</v>
      </c>
      <c r="AI4">
        <v>0.01</v>
      </c>
      <c r="AJ4">
        <v>0.01</v>
      </c>
      <c r="AK4">
        <v>0.01</v>
      </c>
      <c r="AL4">
        <v>0.01</v>
      </c>
      <c r="AM4">
        <v>0.01</v>
      </c>
      <c r="AN4">
        <v>0.01</v>
      </c>
      <c r="AO4">
        <v>0.01</v>
      </c>
      <c r="AQ4">
        <v>0.01</v>
      </c>
      <c r="AR4">
        <v>0.01</v>
      </c>
      <c r="AS4">
        <v>0.01</v>
      </c>
      <c r="AT4">
        <v>0.01</v>
      </c>
      <c r="AU4">
        <v>0.01</v>
      </c>
      <c r="AV4">
        <v>0.01</v>
      </c>
      <c r="AW4">
        <v>0.01</v>
      </c>
      <c r="AY4">
        <v>0.01</v>
      </c>
      <c r="AZ4">
        <v>0.01</v>
      </c>
      <c r="BA4">
        <v>0.01</v>
      </c>
      <c r="BB4">
        <v>0.01</v>
      </c>
      <c r="BC4">
        <v>0.01</v>
      </c>
      <c r="BD4">
        <v>0.01</v>
      </c>
      <c r="BE4">
        <v>0.01</v>
      </c>
    </row>
    <row r="5" spans="1:57">
      <c r="A5" s="6" t="s">
        <v>50</v>
      </c>
    </row>
    <row r="6" spans="1:57" ht="13">
      <c r="A6" s="6" t="s">
        <v>32</v>
      </c>
      <c r="B6" s="13" t="s">
        <v>52</v>
      </c>
    </row>
    <row r="7" spans="1:57" ht="15.75" customHeight="1">
      <c r="A7" s="6"/>
      <c r="B7" s="48" t="s">
        <v>20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</row>
    <row r="8" spans="1:57" ht="15.75" customHeight="1">
      <c r="A8" s="14" t="s">
        <v>53</v>
      </c>
      <c r="B8" s="48" t="s">
        <v>21</v>
      </c>
      <c r="C8" s="31">
        <v>0.5</v>
      </c>
      <c r="D8">
        <v>0.52500000000000002</v>
      </c>
      <c r="E8">
        <v>0.55000000000000004</v>
      </c>
      <c r="F8">
        <v>0.57499999999999996</v>
      </c>
      <c r="G8">
        <v>0.6</v>
      </c>
      <c r="H8">
        <v>0.625</v>
      </c>
      <c r="I8">
        <v>0.65</v>
      </c>
      <c r="K8" s="31">
        <v>0.5</v>
      </c>
      <c r="L8">
        <v>0.52500000000000002</v>
      </c>
      <c r="M8">
        <v>0.55000000000000004</v>
      </c>
      <c r="N8">
        <v>0.57499999999999996</v>
      </c>
      <c r="O8">
        <v>0.6</v>
      </c>
      <c r="P8">
        <v>0.625</v>
      </c>
      <c r="Q8">
        <v>0.65</v>
      </c>
      <c r="S8">
        <v>0.5</v>
      </c>
      <c r="T8" s="31">
        <v>0.52500000000000002</v>
      </c>
      <c r="U8">
        <v>0.55000000000000004</v>
      </c>
      <c r="V8">
        <v>0.57499999999999996</v>
      </c>
      <c r="W8">
        <v>0.6</v>
      </c>
      <c r="X8">
        <v>0.625</v>
      </c>
      <c r="Y8">
        <v>0.65</v>
      </c>
      <c r="AA8">
        <v>0.5</v>
      </c>
      <c r="AB8">
        <v>0.52500000000000002</v>
      </c>
      <c r="AC8" s="31">
        <v>0.55000000000000004</v>
      </c>
      <c r="AD8">
        <v>0.57499999999999996</v>
      </c>
      <c r="AE8">
        <v>0.6</v>
      </c>
      <c r="AF8">
        <v>0.625</v>
      </c>
      <c r="AG8">
        <v>0.65</v>
      </c>
      <c r="AI8">
        <v>0.5</v>
      </c>
      <c r="AJ8">
        <v>0.52500000000000002</v>
      </c>
      <c r="AK8">
        <v>0.55000000000000004</v>
      </c>
      <c r="AL8">
        <v>0.57499999999999996</v>
      </c>
      <c r="AM8">
        <v>0.6</v>
      </c>
      <c r="AN8">
        <v>0.625</v>
      </c>
      <c r="AO8">
        <v>0.65</v>
      </c>
      <c r="AQ8">
        <v>0.5</v>
      </c>
      <c r="AR8">
        <v>0.52500000000000002</v>
      </c>
      <c r="AS8">
        <v>0.55000000000000004</v>
      </c>
      <c r="AT8" s="31">
        <v>0.57499999999999996</v>
      </c>
      <c r="AU8">
        <v>0.6</v>
      </c>
      <c r="AV8">
        <v>0.625</v>
      </c>
      <c r="AW8">
        <v>0.65</v>
      </c>
      <c r="AY8">
        <v>0.5</v>
      </c>
      <c r="AZ8">
        <v>0.52500000000000002</v>
      </c>
      <c r="BA8">
        <v>0.55000000000000004</v>
      </c>
      <c r="BB8">
        <v>0.57499999999999996</v>
      </c>
      <c r="BC8" s="31">
        <v>0.6</v>
      </c>
      <c r="BD8">
        <v>0.625</v>
      </c>
      <c r="BE8">
        <v>0.65</v>
      </c>
    </row>
    <row r="9" spans="1:57" ht="15.75" customHeight="1">
      <c r="A9" s="7"/>
      <c r="B9" s="48" t="s">
        <v>22</v>
      </c>
      <c r="C9" s="31">
        <v>0.5</v>
      </c>
      <c r="D9">
        <v>0.47499999999999998</v>
      </c>
      <c r="E9">
        <v>0.45</v>
      </c>
      <c r="F9">
        <v>0.42499999999999999</v>
      </c>
      <c r="G9">
        <v>0.4</v>
      </c>
      <c r="H9">
        <v>0.375</v>
      </c>
      <c r="I9">
        <v>0.35</v>
      </c>
      <c r="K9" s="31">
        <v>0.5</v>
      </c>
      <c r="L9">
        <v>0.47499999999999998</v>
      </c>
      <c r="M9">
        <v>0.45</v>
      </c>
      <c r="N9">
        <v>0.42499999999999999</v>
      </c>
      <c r="O9">
        <v>0.4</v>
      </c>
      <c r="P9">
        <v>0.375</v>
      </c>
      <c r="Q9">
        <v>0.35</v>
      </c>
      <c r="S9">
        <v>0.5</v>
      </c>
      <c r="T9" s="31">
        <v>0.47499999999999998</v>
      </c>
      <c r="U9">
        <v>0.45</v>
      </c>
      <c r="V9">
        <v>0.42499999999999999</v>
      </c>
      <c r="W9">
        <v>0.4</v>
      </c>
      <c r="X9">
        <v>0.375</v>
      </c>
      <c r="Y9">
        <v>0.35</v>
      </c>
      <c r="AA9">
        <v>0.5</v>
      </c>
      <c r="AB9">
        <v>0.47499999999999998</v>
      </c>
      <c r="AC9" s="31">
        <v>0.45</v>
      </c>
      <c r="AD9">
        <v>0.42499999999999999</v>
      </c>
      <c r="AE9">
        <v>0.4</v>
      </c>
      <c r="AF9">
        <v>0.375</v>
      </c>
      <c r="AG9">
        <v>0.35</v>
      </c>
      <c r="AI9">
        <v>0.5</v>
      </c>
      <c r="AJ9">
        <v>0.47499999999999998</v>
      </c>
      <c r="AK9">
        <v>0.45</v>
      </c>
      <c r="AL9">
        <v>0.42499999999999999</v>
      </c>
      <c r="AM9">
        <v>0.4</v>
      </c>
      <c r="AN9">
        <v>0.375</v>
      </c>
      <c r="AO9">
        <v>0.35</v>
      </c>
      <c r="AQ9">
        <v>0.5</v>
      </c>
      <c r="AR9">
        <v>0.47499999999999998</v>
      </c>
      <c r="AS9">
        <v>0.45</v>
      </c>
      <c r="AT9" s="31">
        <v>0.42499999999999999</v>
      </c>
      <c r="AU9">
        <v>0.4</v>
      </c>
      <c r="AV9">
        <v>0.375</v>
      </c>
      <c r="AW9">
        <v>0.35</v>
      </c>
      <c r="AY9">
        <v>0.5</v>
      </c>
      <c r="AZ9">
        <v>0.47499999999999998</v>
      </c>
      <c r="BA9">
        <v>0.45</v>
      </c>
      <c r="BB9">
        <v>0.42499999999999999</v>
      </c>
      <c r="BC9" s="31">
        <v>0.4</v>
      </c>
      <c r="BD9">
        <v>0.375</v>
      </c>
      <c r="BE9">
        <v>0.35</v>
      </c>
    </row>
    <row r="10" spans="1:57"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Y10" s="49"/>
      <c r="AZ10" s="49"/>
      <c r="BA10" s="49"/>
      <c r="BB10" s="49"/>
      <c r="BC10" s="49"/>
      <c r="BD10" s="49"/>
      <c r="BE10" s="49"/>
    </row>
    <row r="11" spans="1:57" ht="13">
      <c r="A11" s="15"/>
      <c r="B11" s="13" t="s">
        <v>54</v>
      </c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34"/>
      <c r="AB11" s="78"/>
      <c r="AC11" s="78"/>
      <c r="AD11" s="78"/>
      <c r="AE11" s="78"/>
      <c r="AF11" s="78"/>
      <c r="AG11" s="78"/>
      <c r="AH11" s="70"/>
      <c r="AI11" s="78"/>
      <c r="AJ11" s="78"/>
      <c r="AK11" s="78"/>
      <c r="AL11" s="78"/>
      <c r="AM11" s="78"/>
      <c r="AN11" s="78"/>
      <c r="AO11" s="78"/>
      <c r="AP11" s="78"/>
      <c r="AQ11" s="78"/>
      <c r="AR11" s="78"/>
      <c r="AS11" s="78"/>
      <c r="AT11" s="78"/>
      <c r="AU11" s="78"/>
      <c r="AV11" s="78"/>
      <c r="AW11" s="78"/>
      <c r="AX11" s="70"/>
      <c r="AY11" s="78"/>
      <c r="AZ11" s="78"/>
      <c r="BA11" s="78"/>
      <c r="BB11" s="78"/>
      <c r="BC11" s="78"/>
      <c r="BD11" s="78"/>
      <c r="BE11" s="78"/>
    </row>
    <row r="12" spans="1:57" ht="15.75" customHeight="1">
      <c r="A12" s="6" t="s">
        <v>26</v>
      </c>
      <c r="B12" s="48" t="s">
        <v>25</v>
      </c>
      <c r="C12" s="45">
        <v>1.1262527000000001E-4</v>
      </c>
      <c r="D12" s="45">
        <v>1.2511512999999999E-4</v>
      </c>
      <c r="E12" s="45">
        <v>1.3800265999999999E-4</v>
      </c>
      <c r="F12" s="45">
        <v>1.5123518000000001E-4</v>
      </c>
      <c r="G12" s="45">
        <v>1.6475861000000001E-4</v>
      </c>
      <c r="H12" s="45">
        <v>1.7851763E-4</v>
      </c>
      <c r="I12" s="45">
        <v>1.9245500000000001E-4</v>
      </c>
      <c r="J12" s="68"/>
      <c r="K12" s="34">
        <v>7.6447342999999993E-5</v>
      </c>
      <c r="L12" s="34">
        <v>8.5515851999999994E-5</v>
      </c>
      <c r="M12" s="34">
        <v>9.4963520999999997E-5</v>
      </c>
      <c r="N12" s="45">
        <v>1.0475864000000001E-4</v>
      </c>
      <c r="O12" s="45">
        <v>1.1486777E-4</v>
      </c>
      <c r="P12" s="45">
        <v>1.2525618999999999E-4</v>
      </c>
      <c r="Q12" s="45">
        <v>1.3588774999999999E-4</v>
      </c>
      <c r="R12" s="68"/>
      <c r="S12" s="34">
        <v>5.2354132000000002E-5</v>
      </c>
      <c r="T12" s="34">
        <v>5.8984392000000002E-5</v>
      </c>
      <c r="U12" s="34">
        <v>6.5953096000000006E-5</v>
      </c>
      <c r="V12" s="34">
        <v>7.3244676999999997E-5</v>
      </c>
      <c r="W12" s="34">
        <v>8.0842087999999997E-5</v>
      </c>
      <c r="X12" s="34">
        <v>8.8726177000000001E-5</v>
      </c>
      <c r="Y12" s="34">
        <v>9.6862124000000001E-5</v>
      </c>
      <c r="Z12" s="68"/>
      <c r="AA12" s="34">
        <v>3.6091757999999997E-5</v>
      </c>
      <c r="AB12" s="34">
        <v>4.0998141999999998E-5</v>
      </c>
      <c r="AC12" s="34">
        <v>4.6192880000000001E-5</v>
      </c>
      <c r="AD12" s="34">
        <v>5.1672116E-5</v>
      </c>
      <c r="AE12" s="34">
        <v>5.7429670000000001E-5</v>
      </c>
      <c r="AF12" s="34">
        <v>6.3457733999999994E-5</v>
      </c>
      <c r="AG12" s="34">
        <v>6.9745329000000004E-5</v>
      </c>
      <c r="AH12" s="70"/>
      <c r="AI12" s="34">
        <v>2.4882441999999999E-5</v>
      </c>
      <c r="AJ12" s="34">
        <v>2.8556557999999999E-5</v>
      </c>
      <c r="AK12" s="34">
        <v>3.2473383E-5</v>
      </c>
      <c r="AL12" s="34">
        <v>3.6634214000000001E-5</v>
      </c>
      <c r="AM12" s="34">
        <v>4.1038887000000002E-5</v>
      </c>
      <c r="AN12" s="34">
        <v>4.5685473999999997E-5</v>
      </c>
      <c r="AO12" s="34">
        <v>5.0569728999999997E-5</v>
      </c>
      <c r="AP12" s="68"/>
      <c r="AQ12" s="34">
        <v>1.7025465999999999E-5</v>
      </c>
      <c r="AR12" s="34">
        <v>1.9790380000000001E-5</v>
      </c>
      <c r="AS12" s="34">
        <v>2.2763471000000001E-5</v>
      </c>
      <c r="AT12" s="34">
        <v>2.5946946999999999E-5</v>
      </c>
      <c r="AU12" s="34">
        <v>2.9342928999999999E-5</v>
      </c>
      <c r="AV12" s="34">
        <v>3.2953015999999998E-5</v>
      </c>
      <c r="AW12" s="34">
        <v>3.6776778999999999E-5</v>
      </c>
      <c r="AX12" s="70"/>
      <c r="AY12" s="34">
        <v>1.1525835E-5</v>
      </c>
      <c r="AZ12" s="34">
        <v>1.3596678E-5</v>
      </c>
      <c r="BA12" s="34">
        <v>1.5852645000000001E-5</v>
      </c>
      <c r="BB12" s="34">
        <v>1.8296579E-5</v>
      </c>
      <c r="BC12" s="34">
        <v>2.0931971999999999E-5</v>
      </c>
      <c r="BD12" s="34">
        <v>2.3762662000000001E-5</v>
      </c>
      <c r="BE12" s="34">
        <v>2.6789085999999999E-5</v>
      </c>
    </row>
    <row r="13" spans="1:57" ht="15.75" customHeight="1">
      <c r="A13" s="6" t="s">
        <v>28</v>
      </c>
      <c r="B13" s="48" t="s">
        <v>27</v>
      </c>
      <c r="C13" s="45">
        <v>1.9789724E-3</v>
      </c>
      <c r="D13" s="45">
        <v>1.7921818E-3</v>
      </c>
      <c r="E13" s="45">
        <v>1.6145256999999999E-3</v>
      </c>
      <c r="F13" s="45">
        <v>1.4458627E-3</v>
      </c>
      <c r="G13" s="45">
        <v>1.2860968999999999E-3</v>
      </c>
      <c r="H13" s="45">
        <v>1.1351769E-3</v>
      </c>
      <c r="I13" s="45">
        <v>9.9309332000000004E-4</v>
      </c>
      <c r="J13" s="68"/>
      <c r="K13" s="45">
        <v>1.8107754000000001E-3</v>
      </c>
      <c r="L13" s="45">
        <v>1.6352565E-3</v>
      </c>
      <c r="M13" s="45">
        <v>1.4692017000000001E-3</v>
      </c>
      <c r="N13" s="45">
        <v>1.3123822E-3</v>
      </c>
      <c r="O13" s="45">
        <v>1.1646110000000001E-3</v>
      </c>
      <c r="P13" s="45">
        <v>1.0257389000000001E-3</v>
      </c>
      <c r="Q13" s="45">
        <v>8.9565201E-4</v>
      </c>
      <c r="R13" s="68"/>
      <c r="S13" s="45">
        <v>1.6368935999999999E-3</v>
      </c>
      <c r="T13" s="45">
        <v>1.4726894E-3</v>
      </c>
      <c r="U13" s="45">
        <v>1.3182609E-3</v>
      </c>
      <c r="V13" s="45">
        <v>1.1732655999999999E-3</v>
      </c>
      <c r="W13" s="45">
        <v>1.0374188999999999E-3</v>
      </c>
      <c r="X13" s="45">
        <v>9.1048004000000003E-4</v>
      </c>
      <c r="Y13" s="45">
        <v>7.9223903000000002E-4</v>
      </c>
      <c r="Z13" s="68"/>
      <c r="AA13" s="45">
        <v>1.4610767E-3</v>
      </c>
      <c r="AB13" s="45">
        <v>1.3077472E-3</v>
      </c>
      <c r="AC13" s="45">
        <v>1.1646846E-3</v>
      </c>
      <c r="AD13" s="45">
        <v>1.0313449999999999E-3</v>
      </c>
      <c r="AE13" s="45">
        <v>9.0728863999999995E-4</v>
      </c>
      <c r="AF13" s="45">
        <v>7.9215304999999999E-4</v>
      </c>
      <c r="AG13" s="45">
        <v>6.8562804999999999E-4</v>
      </c>
      <c r="AH13" s="70"/>
      <c r="AI13" s="45">
        <v>1.2903596E-3</v>
      </c>
      <c r="AJ13" s="45">
        <v>1.1464546000000001E-3</v>
      </c>
      <c r="AK13" s="45">
        <v>1.0137224E-3</v>
      </c>
      <c r="AL13" s="45">
        <v>8.9130187000000004E-4</v>
      </c>
      <c r="AM13" s="45">
        <v>7.7850629000000002E-4</v>
      </c>
      <c r="AN13" s="45">
        <v>6.7478109000000002E-4</v>
      </c>
      <c r="AO13" s="45">
        <v>5.7966967999999999E-4</v>
      </c>
      <c r="AP13" s="68"/>
      <c r="AQ13" s="45">
        <v>1.1344682999999999E-3</v>
      </c>
      <c r="AR13" s="45">
        <v>9.9767890999999994E-4</v>
      </c>
      <c r="AS13" s="45">
        <v>8.7342061000000003E-4</v>
      </c>
      <c r="AT13" s="45">
        <v>7.6046806999999998E-4</v>
      </c>
      <c r="AU13" s="45">
        <v>6.5782231999999999E-4</v>
      </c>
      <c r="AV13" s="45">
        <v>5.6467474999999997E-4</v>
      </c>
      <c r="AW13" s="45">
        <v>4.8036155999999999E-4</v>
      </c>
      <c r="AX13" s="70"/>
      <c r="AY13" s="45">
        <v>1.0024413000000001E-3</v>
      </c>
      <c r="AZ13" s="45">
        <v>8.7050449999999998E-4</v>
      </c>
      <c r="BA13" s="45">
        <v>7.5265464999999996E-4</v>
      </c>
      <c r="BB13" s="45">
        <v>6.4737398999999997E-4</v>
      </c>
      <c r="BC13" s="45">
        <v>5.5336836999999998E-4</v>
      </c>
      <c r="BD13" s="45">
        <v>4.6955241000000002E-4</v>
      </c>
      <c r="BE13" s="45">
        <v>3.9499978999999998E-4</v>
      </c>
    </row>
    <row r="14" spans="1:57" ht="13">
      <c r="A14" s="6" t="s">
        <v>30</v>
      </c>
      <c r="B14" s="48" t="s">
        <v>29</v>
      </c>
      <c r="C14" s="45">
        <v>3.5466593999999999E-3</v>
      </c>
      <c r="D14" s="45">
        <v>3.4186188999999999E-3</v>
      </c>
      <c r="E14" s="45">
        <v>3.2820283999999999E-3</v>
      </c>
      <c r="F14" s="45">
        <v>3.1374021000000001E-3</v>
      </c>
      <c r="G14" s="45">
        <v>2.9852390000000002E-3</v>
      </c>
      <c r="H14" s="45">
        <v>2.8260291999999999E-3</v>
      </c>
      <c r="I14" s="45">
        <v>2.6602640999999999E-3</v>
      </c>
      <c r="J14" s="68"/>
      <c r="K14" s="45">
        <v>4.0715049E-3</v>
      </c>
      <c r="L14" s="45">
        <v>3.9314935000000001E-3</v>
      </c>
      <c r="M14" s="45">
        <v>3.7817533999999998E-3</v>
      </c>
      <c r="N14" s="45">
        <v>3.6228318999999998E-3</v>
      </c>
      <c r="O14" s="45">
        <v>3.4552482999999998E-3</v>
      </c>
      <c r="P14" s="45">
        <v>3.2795077999999999E-3</v>
      </c>
      <c r="Q14" s="45">
        <v>3.0961145999999998E-3</v>
      </c>
      <c r="R14" s="68"/>
      <c r="S14" s="45">
        <v>4.6102540999999999E-3</v>
      </c>
      <c r="T14" s="45">
        <v>4.4577864000000002E-3</v>
      </c>
      <c r="U14" s="45">
        <v>4.2942461000000003E-3</v>
      </c>
      <c r="V14" s="45">
        <v>4.1203606000000002E-3</v>
      </c>
      <c r="W14" s="45">
        <v>3.9367500000000001E-3</v>
      </c>
      <c r="X14" s="45">
        <v>3.7439791000000002E-3</v>
      </c>
      <c r="Y14" s="45">
        <v>3.5426122000000002E-3</v>
      </c>
      <c r="Z14" s="68"/>
      <c r="AA14" s="45">
        <v>5.1517561999999996E-3</v>
      </c>
      <c r="AB14" s="45">
        <v>4.9883738000000002E-3</v>
      </c>
      <c r="AC14" s="45">
        <v>4.8117400000000001E-3</v>
      </c>
      <c r="AD14" s="45">
        <v>4.6230530000000002E-3</v>
      </c>
      <c r="AE14" s="45">
        <v>4.4232591000000002E-3</v>
      </c>
      <c r="AF14" s="45">
        <v>4.2131225999999999E-3</v>
      </c>
      <c r="AG14" s="45">
        <v>3.9933127000000004E-3</v>
      </c>
      <c r="AH14" s="70"/>
      <c r="AI14" s="45">
        <v>5.6728463999999998E-3</v>
      </c>
      <c r="AJ14" s="45">
        <v>5.5033080999999998E-3</v>
      </c>
      <c r="AK14" s="45">
        <v>5.3168588000000001E-3</v>
      </c>
      <c r="AL14" s="45">
        <v>5.1154640000000001E-3</v>
      </c>
      <c r="AM14" s="45">
        <v>4.9006507000000001E-3</v>
      </c>
      <c r="AN14" s="45">
        <v>4.6736008000000002E-3</v>
      </c>
      <c r="AO14" s="45">
        <v>4.4352367000000002E-3</v>
      </c>
      <c r="AP14" s="68"/>
      <c r="AQ14" s="45">
        <v>6.1412437E-3</v>
      </c>
      <c r="AR14" s="45">
        <v>5.9722888000000003E-3</v>
      </c>
      <c r="AS14" s="45">
        <v>5.7813307000000001E-3</v>
      </c>
      <c r="AT14" s="45">
        <v>5.5711090000000003E-3</v>
      </c>
      <c r="AU14" s="45">
        <v>5.3438254000000001E-3</v>
      </c>
      <c r="AV14" s="45">
        <v>5.1011835999999998E-3</v>
      </c>
      <c r="AW14" s="45">
        <v>4.8444915999999996E-3</v>
      </c>
      <c r="AX14" s="70"/>
      <c r="AY14" s="45">
        <v>6.5270826000000002E-3</v>
      </c>
      <c r="AZ14" s="45">
        <v>6.3641473000000002E-3</v>
      </c>
      <c r="BA14" s="45">
        <v>6.1735549000000002E-3</v>
      </c>
      <c r="BB14" s="45">
        <v>5.9584599E-3</v>
      </c>
      <c r="BC14" s="45">
        <v>5.7215579000000003E-3</v>
      </c>
      <c r="BD14" s="45">
        <v>5.4650449000000004E-3</v>
      </c>
      <c r="BE14" s="45">
        <v>5.1907459E-3</v>
      </c>
    </row>
    <row r="15" spans="1:57" ht="15.75" customHeight="1">
      <c r="A15" s="6" t="s">
        <v>32</v>
      </c>
      <c r="B15" s="48" t="s">
        <v>31</v>
      </c>
      <c r="C15" s="45">
        <v>2.4953959E-3</v>
      </c>
      <c r="D15" s="45">
        <v>2.4970177000000001E-3</v>
      </c>
      <c r="E15" s="45">
        <v>2.4889203E-3</v>
      </c>
      <c r="F15" s="45">
        <v>2.4708727000000001E-3</v>
      </c>
      <c r="G15" s="45">
        <v>2.4425673000000002E-3</v>
      </c>
      <c r="H15" s="45">
        <v>2.4036171999999999E-3</v>
      </c>
      <c r="I15" s="45">
        <v>2.3535494000000001E-3</v>
      </c>
      <c r="J15" s="68"/>
      <c r="K15" s="45">
        <v>2.3069445000000002E-3</v>
      </c>
      <c r="L15" s="45">
        <v>2.2979937000000001E-3</v>
      </c>
      <c r="M15" s="45">
        <v>2.2798434999999999E-3</v>
      </c>
      <c r="N15" s="45">
        <v>2.2524038999999999E-3</v>
      </c>
      <c r="O15" s="45">
        <v>2.2155298999999998E-3</v>
      </c>
      <c r="P15" s="45">
        <v>2.1690145000000001E-3</v>
      </c>
      <c r="Q15" s="45">
        <v>2.1125815999999999E-3</v>
      </c>
      <c r="R15" s="68"/>
      <c r="S15" s="45">
        <v>2.1159589000000001E-3</v>
      </c>
      <c r="T15" s="45">
        <v>2.0968351000000001E-3</v>
      </c>
      <c r="U15" s="45">
        <v>2.0692322999999999E-3</v>
      </c>
      <c r="V15" s="45">
        <v>2.0331084999999998E-3</v>
      </c>
      <c r="W15" s="45">
        <v>1.9884122999999998E-3</v>
      </c>
      <c r="X15" s="45">
        <v>1.9350610000000001E-3</v>
      </c>
      <c r="Y15" s="45">
        <v>1.8729098999999999E-3</v>
      </c>
      <c r="Z15" s="68"/>
      <c r="AA15" s="45">
        <v>1.9260905E-3</v>
      </c>
      <c r="AB15" s="45">
        <v>1.896132E-3</v>
      </c>
      <c r="AC15" s="45">
        <v>1.8588910999999999E-3</v>
      </c>
      <c r="AD15" s="45">
        <v>1.8142573E-3</v>
      </c>
      <c r="AE15" s="45">
        <v>1.7621639000000001E-3</v>
      </c>
      <c r="AF15" s="45">
        <v>1.7025714999999999E-3</v>
      </c>
      <c r="AG15" s="45">
        <v>1.6354314E-3</v>
      </c>
      <c r="AH15" s="70"/>
      <c r="AI15" s="45">
        <v>1.7464346E-3</v>
      </c>
      <c r="AJ15" s="45">
        <v>1.7037828999999999E-3</v>
      </c>
      <c r="AK15" s="45">
        <v>1.6556966999999999E-3</v>
      </c>
      <c r="AL15" s="45">
        <v>1.6019324000000001E-3</v>
      </c>
      <c r="AM15" s="45">
        <v>1.5423368999999999E-3</v>
      </c>
      <c r="AN15" s="45">
        <v>1.4768373E-3</v>
      </c>
      <c r="AO15" s="45">
        <v>1.4054242E-3</v>
      </c>
      <c r="AP15" s="68"/>
      <c r="AQ15" s="45">
        <v>1.58982E-3</v>
      </c>
      <c r="AR15" s="45">
        <v>1.5323534999999999E-3</v>
      </c>
      <c r="AS15" s="45">
        <v>1.4718283E-3</v>
      </c>
      <c r="AT15" s="45">
        <v>1.4079551E-3</v>
      </c>
      <c r="AU15" s="45">
        <v>1.3405301E-3</v>
      </c>
      <c r="AV15" s="45">
        <v>1.2694671000000001E-3</v>
      </c>
      <c r="AW15" s="45">
        <v>1.1947855E-3</v>
      </c>
      <c r="AX15" s="70"/>
      <c r="AY15" s="45">
        <v>1.4680349000000001E-3</v>
      </c>
      <c r="AZ15" s="45">
        <v>1.3948439000000001E-3</v>
      </c>
      <c r="BA15" s="45">
        <v>1.3211360000000001E-3</v>
      </c>
      <c r="BB15" s="45">
        <v>1.2467922999999999E-3</v>
      </c>
      <c r="BC15" s="45">
        <v>1.1717056000000001E-3</v>
      </c>
      <c r="BD15" s="45">
        <v>1.0958503999999999E-3</v>
      </c>
      <c r="BE15" s="45">
        <v>1.0192548000000001E-3</v>
      </c>
    </row>
    <row r="16" spans="1:57" ht="13">
      <c r="A16" s="10"/>
      <c r="B16" s="48" t="s">
        <v>33</v>
      </c>
      <c r="C16" s="45">
        <v>4.3617431E-3</v>
      </c>
      <c r="D16" s="45">
        <v>4.6640843999999999E-3</v>
      </c>
      <c r="E16" s="45">
        <v>4.9654434000000001E-3</v>
      </c>
      <c r="F16" s="45">
        <v>5.2655002000000003E-3</v>
      </c>
      <c r="G16" s="45">
        <v>5.5639056000000003E-3</v>
      </c>
      <c r="H16" s="45">
        <v>5.8602764999999999E-3</v>
      </c>
      <c r="I16" s="45">
        <v>6.1541877E-3</v>
      </c>
      <c r="J16" s="68"/>
      <c r="K16" s="45">
        <v>4.0412725999999996E-3</v>
      </c>
      <c r="L16" s="45">
        <v>4.3477343000000003E-3</v>
      </c>
      <c r="M16" s="45">
        <v>4.6540816000000002E-3</v>
      </c>
      <c r="N16" s="45">
        <v>4.9600275000000003E-3</v>
      </c>
      <c r="O16" s="45">
        <v>5.2652730999999996E-3</v>
      </c>
      <c r="P16" s="45">
        <v>5.5694973000000002E-3</v>
      </c>
      <c r="Q16" s="45">
        <v>5.8723457999999996E-3</v>
      </c>
      <c r="R16" s="68"/>
      <c r="S16" s="45">
        <v>3.7004984000000001E-3</v>
      </c>
      <c r="T16" s="45">
        <v>4.0105401000000004E-3</v>
      </c>
      <c r="U16" s="45">
        <v>4.3215401000000001E-3</v>
      </c>
      <c r="V16" s="45">
        <v>4.6331293999999999E-3</v>
      </c>
      <c r="W16" s="45">
        <v>4.9449892000000004E-3</v>
      </c>
      <c r="X16" s="45">
        <v>5.2568147999999997E-3</v>
      </c>
      <c r="Y16" s="45">
        <v>5.5682867999999998E-3</v>
      </c>
      <c r="Z16" s="68"/>
      <c r="AA16" s="45">
        <v>3.3510755E-3</v>
      </c>
      <c r="AB16" s="45">
        <v>3.6628810999999998E-3</v>
      </c>
      <c r="AC16" s="45">
        <v>3.9773828000000001E-3</v>
      </c>
      <c r="AD16" s="45">
        <v>4.2939301000000001E-3</v>
      </c>
      <c r="AE16" s="45">
        <v>4.6120227999999997E-3</v>
      </c>
      <c r="AF16" s="45">
        <v>4.9312668000000004E-3</v>
      </c>
      <c r="AG16" s="45">
        <v>5.2513140999999996E-3</v>
      </c>
      <c r="AH16" s="70"/>
      <c r="AI16" s="45">
        <v>3.0119117000000002E-3</v>
      </c>
      <c r="AJ16" s="45">
        <v>3.3216809999999999E-3</v>
      </c>
      <c r="AK16" s="45">
        <v>3.6369456000000001E-3</v>
      </c>
      <c r="AL16" s="45">
        <v>3.9566000999999998E-3</v>
      </c>
      <c r="AM16" s="45">
        <v>4.2798042999999996E-3</v>
      </c>
      <c r="AN16" s="45">
        <v>4.6059329E-3</v>
      </c>
      <c r="AO16" s="45">
        <v>4.9345240999999996E-3</v>
      </c>
      <c r="AP16" s="68"/>
      <c r="AQ16" s="45">
        <v>2.7072628E-3</v>
      </c>
      <c r="AR16" s="45">
        <v>3.0102420999999998E-3</v>
      </c>
      <c r="AS16" s="45">
        <v>3.3224855000000002E-3</v>
      </c>
      <c r="AT16" s="45">
        <v>3.6424762E-3</v>
      </c>
      <c r="AU16" s="45">
        <v>3.9690094999999996E-3</v>
      </c>
      <c r="AV16" s="45">
        <v>4.3011888000000003E-3</v>
      </c>
      <c r="AW16" s="45">
        <v>4.6383702999999998E-3</v>
      </c>
      <c r="AX16" s="70"/>
      <c r="AY16" s="45">
        <v>2.4589503999999998E-3</v>
      </c>
      <c r="AZ16" s="45">
        <v>2.7517517E-3</v>
      </c>
      <c r="BA16" s="45">
        <v>3.0579380000000001E-3</v>
      </c>
      <c r="BB16" s="45">
        <v>3.3758696999999999E-3</v>
      </c>
      <c r="BC16" s="45">
        <v>3.7041420000000001E-3</v>
      </c>
      <c r="BD16" s="45">
        <v>4.0416402000000001E-3</v>
      </c>
      <c r="BE16" s="45">
        <v>4.3874654999999999E-3</v>
      </c>
    </row>
    <row r="17" spans="1:57" ht="15.75" customHeight="1">
      <c r="A17" s="6"/>
      <c r="B17" s="48" t="s">
        <v>34</v>
      </c>
      <c r="C17" s="45">
        <v>7.2793537000000004E-3</v>
      </c>
      <c r="D17" s="45">
        <v>7.7527522E-3</v>
      </c>
      <c r="E17" s="45">
        <v>8.2350745E-3</v>
      </c>
      <c r="F17" s="45">
        <v>8.7266571000000001E-3</v>
      </c>
      <c r="G17" s="45">
        <v>9.2279157000000004E-3</v>
      </c>
      <c r="H17" s="45">
        <v>9.7393476999999996E-3</v>
      </c>
      <c r="I17" s="45">
        <v>1.0261541000000001E-2</v>
      </c>
      <c r="J17" s="68"/>
      <c r="K17" s="45">
        <v>7.5401610000000001E-3</v>
      </c>
      <c r="L17" s="45">
        <v>8.0309748E-3</v>
      </c>
      <c r="M17" s="45">
        <v>8.5302296999999992E-3</v>
      </c>
      <c r="N17" s="45">
        <v>9.0380789999999992E-3</v>
      </c>
      <c r="O17" s="45">
        <v>9.5547348000000008E-3</v>
      </c>
      <c r="P17" s="45">
        <v>1.0080473E-2</v>
      </c>
      <c r="Q17" s="45">
        <v>1.0615642999999999E-2</v>
      </c>
      <c r="R17" s="68"/>
      <c r="S17" s="45">
        <v>7.7793330000000003E-3</v>
      </c>
      <c r="T17" s="45">
        <v>8.2851963000000004E-3</v>
      </c>
      <c r="U17" s="45">
        <v>8.7988617000000005E-3</v>
      </c>
      <c r="V17" s="45">
        <v>9.3204024000000003E-3</v>
      </c>
      <c r="W17" s="45">
        <v>9.8499037000000008E-3</v>
      </c>
      <c r="X17" s="45">
        <v>1.0387487000000001E-2</v>
      </c>
      <c r="Y17" s="45">
        <v>1.0933366E-2</v>
      </c>
      <c r="Z17" s="68"/>
      <c r="AA17" s="45">
        <v>8.0017261000000003E-3</v>
      </c>
      <c r="AB17" s="45">
        <v>8.5218719999999998E-3</v>
      </c>
      <c r="AC17" s="45">
        <v>9.0487234E-3</v>
      </c>
      <c r="AD17" s="45">
        <v>9.5823986999999996E-3</v>
      </c>
      <c r="AE17" s="45">
        <v>1.0122977E-2</v>
      </c>
      <c r="AF17" s="45">
        <v>1.0670513E-2</v>
      </c>
      <c r="AG17" s="45">
        <v>1.1225077999999999E-2</v>
      </c>
      <c r="AH17" s="70"/>
      <c r="AI17" s="45">
        <v>8.2038007999999992E-3</v>
      </c>
      <c r="AJ17" s="45">
        <v>8.7391042000000002E-3</v>
      </c>
      <c r="AK17" s="45">
        <v>9.2793567999999993E-3</v>
      </c>
      <c r="AL17" s="45">
        <v>9.8247992999999992E-3</v>
      </c>
      <c r="AM17" s="45">
        <v>1.0375585999999999E-2</v>
      </c>
      <c r="AN17" s="45">
        <v>1.0931791999999999E-2</v>
      </c>
      <c r="AO17" s="45">
        <v>1.1493437E-2</v>
      </c>
      <c r="AP17" s="68"/>
      <c r="AQ17" s="45">
        <v>8.3761293000000001E-3</v>
      </c>
      <c r="AR17" s="45">
        <v>8.9280659000000005E-3</v>
      </c>
      <c r="AS17" s="45">
        <v>9.4826449E-3</v>
      </c>
      <c r="AT17" s="45">
        <v>1.0040151000000001E-2</v>
      </c>
      <c r="AU17" s="45">
        <v>1.0600784E-2</v>
      </c>
      <c r="AV17" s="45">
        <v>1.1164627E-2</v>
      </c>
      <c r="AW17" s="45">
        <v>1.1731661000000001E-2</v>
      </c>
      <c r="AX17" s="70"/>
      <c r="AY17" s="45">
        <v>8.5089135999999992E-3</v>
      </c>
      <c r="AZ17" s="45">
        <v>9.0779629000000001E-3</v>
      </c>
      <c r="BA17" s="45">
        <v>9.6471588999999993E-3</v>
      </c>
      <c r="BB17" s="45">
        <v>1.0216615E-2</v>
      </c>
      <c r="BC17" s="45">
        <v>1.0786431000000001E-2</v>
      </c>
      <c r="BD17" s="45">
        <v>1.1356623999999999E-2</v>
      </c>
      <c r="BE17" s="45">
        <v>1.1927167000000001E-2</v>
      </c>
    </row>
    <row r="18" spans="1:57" ht="16.5" customHeight="1">
      <c r="A18" s="16" t="s">
        <v>55</v>
      </c>
      <c r="B18" s="17" t="s">
        <v>56</v>
      </c>
      <c r="C18" s="86">
        <f t="shared" ref="C18:I18" si="0">SUM(C12:C17)</f>
        <v>1.9774749769999999E-2</v>
      </c>
      <c r="D18" s="86">
        <f t="shared" si="0"/>
        <v>2.0249770130000001E-2</v>
      </c>
      <c r="E18" s="86">
        <f t="shared" si="0"/>
        <v>2.0723994959999999E-2</v>
      </c>
      <c r="F18" s="86">
        <f t="shared" si="0"/>
        <v>2.1197529980000001E-2</v>
      </c>
      <c r="G18" s="86">
        <f t="shared" si="0"/>
        <v>2.1670483109999999E-2</v>
      </c>
      <c r="H18" s="86">
        <f t="shared" si="0"/>
        <v>2.2142965129999997E-2</v>
      </c>
      <c r="I18" s="86">
        <f t="shared" si="0"/>
        <v>2.2615090519999999E-2</v>
      </c>
      <c r="J18" s="86"/>
      <c r="K18" s="86">
        <f t="shared" ref="K18:Q18" si="1">SUM(K12:K17)</f>
        <v>1.9847105742999999E-2</v>
      </c>
      <c r="L18" s="86">
        <f t="shared" si="1"/>
        <v>2.0328968652000002E-2</v>
      </c>
      <c r="M18" s="86">
        <f t="shared" si="1"/>
        <v>2.0810073420999997E-2</v>
      </c>
      <c r="N18" s="86">
        <f t="shared" si="1"/>
        <v>2.1290483139999997E-2</v>
      </c>
      <c r="O18" s="86">
        <f t="shared" si="1"/>
        <v>2.177026487E-2</v>
      </c>
      <c r="P18" s="86">
        <f t="shared" si="1"/>
        <v>2.224948769E-2</v>
      </c>
      <c r="Q18" s="86">
        <f t="shared" si="1"/>
        <v>2.2728224759999999E-2</v>
      </c>
      <c r="R18" s="86"/>
      <c r="S18" s="86">
        <f t="shared" ref="S18:Y18" si="2">SUM(S12:S17)</f>
        <v>1.9895292132E-2</v>
      </c>
      <c r="T18" s="86">
        <f t="shared" si="2"/>
        <v>2.0382031692000001E-2</v>
      </c>
      <c r="U18" s="86">
        <f t="shared" si="2"/>
        <v>2.0868094196000001E-2</v>
      </c>
      <c r="V18" s="86">
        <f t="shared" si="2"/>
        <v>2.1353511177E-2</v>
      </c>
      <c r="W18" s="86">
        <f t="shared" si="2"/>
        <v>2.1838316188000001E-2</v>
      </c>
      <c r="X18" s="86">
        <f t="shared" si="2"/>
        <v>2.2322548117000001E-2</v>
      </c>
      <c r="Y18" s="86">
        <f t="shared" si="2"/>
        <v>2.2806276053999999E-2</v>
      </c>
      <c r="Z18" s="86"/>
      <c r="AA18" s="86">
        <f t="shared" ref="AA18:AG18" si="3">SUM(AA12:AA17)</f>
        <v>1.9927816758000001E-2</v>
      </c>
      <c r="AB18" s="86">
        <f t="shared" si="3"/>
        <v>2.0418004242E-2</v>
      </c>
      <c r="AC18" s="86">
        <f t="shared" si="3"/>
        <v>2.090761478E-2</v>
      </c>
      <c r="AD18" s="86">
        <f t="shared" si="3"/>
        <v>2.1396656216000003E-2</v>
      </c>
      <c r="AE18" s="86">
        <f t="shared" si="3"/>
        <v>2.1885141109999999E-2</v>
      </c>
      <c r="AF18" s="86">
        <f t="shared" si="3"/>
        <v>2.2373084684E-2</v>
      </c>
      <c r="AG18" s="86">
        <f t="shared" si="3"/>
        <v>2.2860509578999998E-2</v>
      </c>
      <c r="AH18" s="91"/>
      <c r="AI18" s="86">
        <f t="shared" ref="AI18:AO18" si="4">SUM(AI12:AI17)</f>
        <v>1.9950235541999997E-2</v>
      </c>
      <c r="AJ18" s="86">
        <f t="shared" si="4"/>
        <v>2.0442887358000001E-2</v>
      </c>
      <c r="AK18" s="86">
        <f t="shared" si="4"/>
        <v>2.0935053682999999E-2</v>
      </c>
      <c r="AL18" s="86">
        <f t="shared" si="4"/>
        <v>2.1426731883999999E-2</v>
      </c>
      <c r="AM18" s="86">
        <f t="shared" si="4"/>
        <v>2.1917923076999999E-2</v>
      </c>
      <c r="AN18" s="86">
        <f t="shared" si="4"/>
        <v>2.2408629563999999E-2</v>
      </c>
      <c r="AO18" s="86">
        <f t="shared" si="4"/>
        <v>2.2898861409E-2</v>
      </c>
      <c r="AP18" s="86"/>
      <c r="AQ18" s="86">
        <f t="shared" ref="AQ18:AW18" si="5">SUM(AQ12:AQ17)</f>
        <v>1.9965949566000001E-2</v>
      </c>
      <c r="AR18" s="86">
        <f t="shared" si="5"/>
        <v>2.0460419590000001E-2</v>
      </c>
      <c r="AS18" s="86">
        <f t="shared" si="5"/>
        <v>2.0954473480999998E-2</v>
      </c>
      <c r="AT18" s="86">
        <f t="shared" si="5"/>
        <v>2.1448106317000001E-2</v>
      </c>
      <c r="AU18" s="86">
        <f t="shared" si="5"/>
        <v>2.1941314248999998E-2</v>
      </c>
      <c r="AV18" s="86">
        <f t="shared" si="5"/>
        <v>2.2434094266000001E-2</v>
      </c>
      <c r="AW18" s="86">
        <f t="shared" si="5"/>
        <v>2.2926446739E-2</v>
      </c>
      <c r="AX18" s="91"/>
      <c r="AY18" s="86">
        <f t="shared" ref="AY18:BE18" si="6">SUM(AY12:AY17)</f>
        <v>1.9976948634999998E-2</v>
      </c>
      <c r="AZ18" s="86">
        <f t="shared" si="6"/>
        <v>2.0472806978E-2</v>
      </c>
      <c r="BA18" s="86">
        <f t="shared" si="6"/>
        <v>2.0968295094999999E-2</v>
      </c>
      <c r="BB18" s="86">
        <f t="shared" si="6"/>
        <v>2.1463407469000002E-2</v>
      </c>
      <c r="BC18" s="86">
        <f t="shared" si="6"/>
        <v>2.1958136842000001E-2</v>
      </c>
      <c r="BD18" s="86">
        <f t="shared" si="6"/>
        <v>2.2452474571999999E-2</v>
      </c>
      <c r="BE18" s="86">
        <f t="shared" si="6"/>
        <v>2.2946422075999999E-2</v>
      </c>
    </row>
    <row r="19" spans="1:57"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0"/>
      <c r="AI19" s="75"/>
      <c r="AJ19" s="75"/>
      <c r="AK19" s="75"/>
      <c r="AL19" s="75"/>
      <c r="AM19" s="75"/>
      <c r="AN19" s="75"/>
      <c r="AO19" s="75"/>
      <c r="AP19" s="75"/>
      <c r="AQ19" s="75"/>
      <c r="AR19" s="75"/>
      <c r="AS19" s="75"/>
      <c r="AT19" s="75"/>
      <c r="AU19" s="75"/>
      <c r="AV19" s="75"/>
      <c r="AW19" s="75"/>
      <c r="AX19" s="70"/>
      <c r="AY19" s="75"/>
      <c r="AZ19" s="75"/>
      <c r="BA19" s="75"/>
      <c r="BB19" s="75"/>
      <c r="BC19" s="75"/>
      <c r="BD19" s="75"/>
      <c r="BE19" s="75"/>
    </row>
    <row r="20" spans="1:57" ht="13">
      <c r="A20" s="5" t="s">
        <v>26</v>
      </c>
      <c r="B20" t="s">
        <v>57</v>
      </c>
      <c r="C20" s="34">
        <v>2.3560500000000001E-6</v>
      </c>
      <c r="D20" s="34">
        <v>2.46188E-6</v>
      </c>
      <c r="E20" s="34">
        <v>2.5666999999999999E-6</v>
      </c>
      <c r="F20" s="34">
        <v>2.6706599999999999E-6</v>
      </c>
      <c r="G20" s="34">
        <v>2.7739900000000002E-6</v>
      </c>
      <c r="H20" s="34">
        <v>2.87698E-6</v>
      </c>
      <c r="I20" s="34">
        <v>2.9800799999999999E-6</v>
      </c>
      <c r="J20" s="79"/>
      <c r="K20" s="34">
        <v>2.40789E-6</v>
      </c>
      <c r="L20" s="34">
        <v>2.52029E-6</v>
      </c>
      <c r="M20" s="34">
        <v>2.6320299999999999E-6</v>
      </c>
      <c r="N20" s="34">
        <v>2.74322E-6</v>
      </c>
      <c r="O20" s="34">
        <v>2.8540600000000001E-6</v>
      </c>
      <c r="P20" s="34">
        <v>2.96477E-6</v>
      </c>
      <c r="Q20" s="34">
        <v>3.0756599999999998E-6</v>
      </c>
      <c r="R20" s="79"/>
      <c r="S20" s="34">
        <v>2.4403799999999998E-6</v>
      </c>
      <c r="T20" s="34">
        <v>2.5570400000000001E-6</v>
      </c>
      <c r="U20" s="34">
        <v>2.6732800000000002E-6</v>
      </c>
      <c r="V20" s="34">
        <v>2.7891900000000001E-6</v>
      </c>
      <c r="W20" s="34">
        <v>2.9049100000000002E-6</v>
      </c>
      <c r="X20" s="34">
        <v>3.0205999999999999E-6</v>
      </c>
      <c r="Y20" s="34">
        <v>3.1364900000000001E-6</v>
      </c>
      <c r="Z20" s="79"/>
      <c r="AA20" s="34">
        <v>2.4610299999999998E-6</v>
      </c>
      <c r="AB20" s="34">
        <v>2.5804400000000001E-6</v>
      </c>
      <c r="AC20" s="34">
        <v>2.6995900000000001E-6</v>
      </c>
      <c r="AD20" s="34">
        <v>2.8185499999999999E-6</v>
      </c>
      <c r="AE20" s="34">
        <v>2.9374200000000002E-6</v>
      </c>
      <c r="AF20" s="34">
        <v>3.0563299999999998E-6</v>
      </c>
      <c r="AG20" s="34">
        <v>3.17544E-6</v>
      </c>
      <c r="AH20" s="80"/>
      <c r="AI20" s="34">
        <v>2.4745600000000002E-6</v>
      </c>
      <c r="AJ20" s="34">
        <v>2.5957599999999999E-6</v>
      </c>
      <c r="AK20" s="34">
        <v>2.7168099999999998E-6</v>
      </c>
      <c r="AL20" s="34">
        <v>2.8377700000000002E-6</v>
      </c>
      <c r="AM20" s="34">
        <v>2.95871E-6</v>
      </c>
      <c r="AN20" s="34">
        <v>3.0797200000000001E-6</v>
      </c>
      <c r="AO20" s="34">
        <v>3.2009199999999998E-6</v>
      </c>
      <c r="AP20" s="79"/>
      <c r="AQ20" s="34">
        <v>2.4837E-6</v>
      </c>
      <c r="AR20" s="34">
        <v>2.6061299999999999E-6</v>
      </c>
      <c r="AS20" s="34">
        <v>2.7284699999999998E-6</v>
      </c>
      <c r="AT20" s="34">
        <v>2.8507699999999999E-6</v>
      </c>
      <c r="AU20" s="34">
        <v>2.9731E-6</v>
      </c>
      <c r="AV20" s="34">
        <v>3.09552E-6</v>
      </c>
      <c r="AW20" s="34">
        <v>3.21811E-6</v>
      </c>
      <c r="AX20" s="80"/>
      <c r="AY20" s="34">
        <v>2.4899500000000002E-6</v>
      </c>
      <c r="AZ20" s="34">
        <v>2.6132499999999999E-6</v>
      </c>
      <c r="BA20" s="34">
        <v>2.7365099999999998E-6</v>
      </c>
      <c r="BB20" s="34">
        <v>2.8597599999999999E-6</v>
      </c>
      <c r="BC20" s="34">
        <v>2.9830399999999999E-6</v>
      </c>
      <c r="BD20" s="34">
        <v>3.1064099999999999E-6</v>
      </c>
      <c r="BE20" s="34">
        <v>3.2299300000000002E-6</v>
      </c>
    </row>
    <row r="21" spans="1:57" ht="13">
      <c r="A21" s="6"/>
      <c r="B21" s="47" t="s">
        <v>36</v>
      </c>
      <c r="C21" s="70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70"/>
      <c r="AW21" s="70"/>
      <c r="AX21" s="70"/>
      <c r="AY21" s="70"/>
      <c r="AZ21" s="70"/>
      <c r="BA21" s="70"/>
      <c r="BB21" s="70"/>
      <c r="BC21" s="70"/>
      <c r="BD21" s="70"/>
      <c r="BE21" s="70"/>
    </row>
    <row r="22" spans="1:57">
      <c r="A22" s="6" t="s">
        <v>28</v>
      </c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  <c r="AW22" s="70"/>
      <c r="AX22" s="70"/>
      <c r="AY22" s="70"/>
      <c r="AZ22" s="70"/>
      <c r="BA22" s="70"/>
      <c r="BB22" s="70"/>
      <c r="BC22" s="70"/>
      <c r="BD22" s="70"/>
      <c r="BE22" s="70"/>
    </row>
    <row r="23" spans="1:57" ht="13">
      <c r="A23" s="6"/>
      <c r="B23" t="s">
        <v>58</v>
      </c>
      <c r="C23" s="34">
        <v>3.0210299999999999E-6</v>
      </c>
      <c r="D23" s="34">
        <v>2.95782E-6</v>
      </c>
      <c r="E23" s="34">
        <v>2.8854700000000002E-6</v>
      </c>
      <c r="F23" s="34">
        <v>2.8041399999999998E-6</v>
      </c>
      <c r="G23" s="34">
        <v>2.7139E-6</v>
      </c>
      <c r="H23" s="34">
        <v>2.6148200000000001E-6</v>
      </c>
      <c r="I23" s="34">
        <v>2.5069099999999999E-6</v>
      </c>
      <c r="J23" s="79"/>
      <c r="K23" s="34">
        <v>3.18922E-6</v>
      </c>
      <c r="L23" s="34">
        <v>3.1147399999999998E-6</v>
      </c>
      <c r="M23" s="34">
        <v>3.0307999999999998E-6</v>
      </c>
      <c r="N23" s="34">
        <v>2.9376200000000002E-6</v>
      </c>
      <c r="O23" s="34">
        <v>2.8353900000000001E-6</v>
      </c>
      <c r="P23" s="34">
        <v>2.7242600000000001E-6</v>
      </c>
      <c r="Q23" s="34">
        <v>2.6043499999999999E-6</v>
      </c>
      <c r="R23" s="79"/>
      <c r="S23" s="34">
        <v>3.3631099999999999E-6</v>
      </c>
      <c r="T23" s="34">
        <v>3.2773099999999998E-6</v>
      </c>
      <c r="U23" s="34">
        <v>3.1817399999999998E-6</v>
      </c>
      <c r="V23" s="34">
        <v>3.0767300000000001E-6</v>
      </c>
      <c r="W23" s="34">
        <v>2.9625800000000001E-6</v>
      </c>
      <c r="X23" s="34">
        <v>2.8395199999999998E-6</v>
      </c>
      <c r="Y23" s="34">
        <v>2.7077599999999999E-6</v>
      </c>
      <c r="Z23" s="79"/>
      <c r="AA23" s="34">
        <v>3.5389199999999998E-6</v>
      </c>
      <c r="AB23" s="34">
        <v>3.4422499999999999E-6</v>
      </c>
      <c r="AC23" s="34">
        <v>3.3353200000000002E-6</v>
      </c>
      <c r="AD23" s="34">
        <v>3.2186599999999999E-6</v>
      </c>
      <c r="AE23" s="34">
        <v>3.0927099999999999E-6</v>
      </c>
      <c r="AF23" s="34">
        <v>2.95785E-6</v>
      </c>
      <c r="AG23" s="34">
        <v>2.8143700000000001E-6</v>
      </c>
      <c r="AH23" s="80"/>
      <c r="AI23" s="34">
        <v>3.7096399999999999E-6</v>
      </c>
      <c r="AJ23" s="34">
        <v>3.60355E-6</v>
      </c>
      <c r="AK23" s="34">
        <v>3.4862799999999998E-6</v>
      </c>
      <c r="AL23" s="34">
        <v>3.3587000000000001E-6</v>
      </c>
      <c r="AM23" s="34">
        <v>3.2214900000000001E-6</v>
      </c>
      <c r="AN23" s="34">
        <v>3.0752199999999999E-6</v>
      </c>
      <c r="AO23" s="34">
        <v>2.9203300000000002E-6</v>
      </c>
      <c r="AP23" s="79"/>
      <c r="AQ23" s="34">
        <v>3.8655300000000001E-6</v>
      </c>
      <c r="AR23" s="34">
        <v>3.7523200000000002E-6</v>
      </c>
      <c r="AS23" s="34">
        <v>3.62658E-6</v>
      </c>
      <c r="AT23" s="34">
        <v>3.4895300000000002E-6</v>
      </c>
      <c r="AU23" s="34">
        <v>3.3421799999999998E-6</v>
      </c>
      <c r="AV23" s="34">
        <v>3.1853299999999998E-6</v>
      </c>
      <c r="AW23" s="34">
        <v>3.0196400000000001E-6</v>
      </c>
      <c r="AX23" s="80"/>
      <c r="AY23" s="34">
        <v>3.9975600000000002E-6</v>
      </c>
      <c r="AZ23" s="34">
        <v>3.8794999999999999E-6</v>
      </c>
      <c r="BA23" s="34">
        <v>3.7473499999999998E-6</v>
      </c>
      <c r="BB23" s="34">
        <v>3.60263E-6</v>
      </c>
      <c r="BC23" s="34">
        <v>3.4466300000000002E-6</v>
      </c>
      <c r="BD23" s="34">
        <v>3.2804500000000001E-6</v>
      </c>
      <c r="BE23" s="34">
        <v>3.1049999999999999E-6</v>
      </c>
    </row>
    <row r="24" spans="1:57" ht="13">
      <c r="A24" s="6" t="s">
        <v>38</v>
      </c>
      <c r="B24" s="47" t="s">
        <v>39</v>
      </c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  <c r="AW24" s="70"/>
      <c r="AX24" s="70"/>
      <c r="AY24" s="70"/>
      <c r="AZ24" s="70"/>
      <c r="BA24" s="70"/>
      <c r="BB24" s="70"/>
      <c r="BC24" s="70"/>
      <c r="BD24" s="70"/>
      <c r="BE24" s="70"/>
    </row>
    <row r="25" spans="1:57" ht="13">
      <c r="A25" s="6"/>
      <c r="C25" s="70"/>
      <c r="D25" s="70"/>
      <c r="E25" s="70"/>
      <c r="F25" s="68"/>
      <c r="G25" s="68"/>
      <c r="H25" s="68"/>
      <c r="I25" s="68"/>
      <c r="J25" s="68"/>
      <c r="K25" s="70"/>
      <c r="L25" s="70"/>
      <c r="M25" s="70"/>
      <c r="N25" s="68"/>
      <c r="O25" s="68"/>
      <c r="P25" s="68"/>
      <c r="Q25" s="68"/>
      <c r="R25" s="68"/>
      <c r="S25" s="70"/>
      <c r="T25" s="70"/>
      <c r="U25" s="70"/>
      <c r="V25" s="68"/>
      <c r="W25" s="68"/>
      <c r="X25" s="68"/>
      <c r="Y25" s="68"/>
      <c r="Z25" s="70"/>
      <c r="AA25" s="70"/>
      <c r="AB25" s="70"/>
      <c r="AC25" s="70"/>
      <c r="AD25" s="68"/>
      <c r="AE25" s="68"/>
      <c r="AF25" s="68"/>
      <c r="AG25" s="68"/>
      <c r="AH25" s="70"/>
      <c r="AI25" s="70"/>
      <c r="AJ25" s="70"/>
      <c r="AK25" s="70"/>
      <c r="AL25" s="68"/>
      <c r="AM25" s="68"/>
      <c r="AN25" s="68"/>
      <c r="AO25" s="68"/>
      <c r="AP25" s="70"/>
      <c r="AQ25" s="70"/>
      <c r="AR25" s="70"/>
      <c r="AS25" s="70"/>
      <c r="AT25" s="68"/>
      <c r="AU25" s="68"/>
      <c r="AV25" s="68"/>
      <c r="AW25" s="68"/>
      <c r="AX25" s="70"/>
      <c r="AY25" s="70"/>
      <c r="AZ25" s="70"/>
      <c r="BA25" s="70"/>
      <c r="BB25" s="68"/>
      <c r="BC25" s="68"/>
      <c r="BD25" s="68"/>
      <c r="BE25" s="68"/>
    </row>
    <row r="26" spans="1:57" ht="13">
      <c r="A26" s="6"/>
      <c r="B26" t="s">
        <v>59</v>
      </c>
      <c r="C26" s="34">
        <v>2.5313199999999999E-6</v>
      </c>
      <c r="D26" s="34">
        <v>2.6630000000000002E-6</v>
      </c>
      <c r="E26" s="34">
        <v>2.7953000000000002E-6</v>
      </c>
      <c r="F26" s="34">
        <v>2.9281E-6</v>
      </c>
      <c r="G26" s="34">
        <v>3.06126E-6</v>
      </c>
      <c r="H26" s="34">
        <v>3.1945000000000001E-6</v>
      </c>
      <c r="I26" s="34">
        <v>3.3274699999999999E-6</v>
      </c>
      <c r="J26" s="79"/>
      <c r="K26" s="34">
        <v>2.5156600000000001E-6</v>
      </c>
      <c r="L26" s="34">
        <v>2.6441900000000002E-6</v>
      </c>
      <c r="M26" s="34">
        <v>2.7730099999999998E-6</v>
      </c>
      <c r="N26" s="34">
        <v>2.90202E-6</v>
      </c>
      <c r="O26" s="34">
        <v>3.0310700000000001E-6</v>
      </c>
      <c r="P26" s="34">
        <v>3.1599800000000001E-6</v>
      </c>
      <c r="Q26" s="34">
        <v>3.2884499999999998E-6</v>
      </c>
      <c r="R26" s="79"/>
      <c r="S26" s="34">
        <v>2.5072700000000001E-6</v>
      </c>
      <c r="T26" s="34">
        <v>2.6339700000000001E-6</v>
      </c>
      <c r="U26" s="34">
        <v>2.7607699999999999E-6</v>
      </c>
      <c r="V26" s="34">
        <v>2.8875599999999998E-6</v>
      </c>
      <c r="W26" s="34">
        <v>3.01425E-6</v>
      </c>
      <c r="X26" s="34">
        <v>3.1406699999999999E-6</v>
      </c>
      <c r="Y26" s="34">
        <v>3.26664E-6</v>
      </c>
      <c r="Z26" s="79"/>
      <c r="AA26" s="34">
        <v>2.5028699999999998E-6</v>
      </c>
      <c r="AB26" s="34">
        <v>2.6285599999999999E-6</v>
      </c>
      <c r="AC26" s="34">
        <v>2.7542199999999999E-6</v>
      </c>
      <c r="AD26" s="34">
        <v>2.8797799999999998E-6</v>
      </c>
      <c r="AE26" s="34">
        <v>3.0051499999999999E-6</v>
      </c>
      <c r="AF26" s="34">
        <v>3.13021E-6</v>
      </c>
      <c r="AG26" s="34">
        <v>3.25481E-6</v>
      </c>
      <c r="AH26" s="80"/>
      <c r="AI26" s="34">
        <v>2.50056E-6</v>
      </c>
      <c r="AJ26" s="34">
        <v>2.62568E-6</v>
      </c>
      <c r="AK26" s="34">
        <v>2.75071E-6</v>
      </c>
      <c r="AL26" s="34">
        <v>2.8756E-6</v>
      </c>
      <c r="AM26" s="34">
        <v>3.0002500000000002E-6</v>
      </c>
      <c r="AN26" s="34">
        <v>3.1245899999999998E-6</v>
      </c>
      <c r="AO26" s="34">
        <v>3.2485100000000002E-6</v>
      </c>
      <c r="AP26" s="79"/>
      <c r="AQ26" s="34">
        <v>2.49927E-6</v>
      </c>
      <c r="AR26" s="34">
        <v>2.6240799999999999E-6</v>
      </c>
      <c r="AS26" s="34">
        <v>2.7487699999999999E-6</v>
      </c>
      <c r="AT26" s="34">
        <v>2.87328E-6</v>
      </c>
      <c r="AU26" s="34">
        <v>2.9975600000000001E-6</v>
      </c>
      <c r="AV26" s="34">
        <v>3.1215300000000001E-6</v>
      </c>
      <c r="AW26" s="34">
        <v>3.2451099999999999E-6</v>
      </c>
      <c r="AX26" s="80"/>
      <c r="AY26" s="34">
        <v>2.49852E-6</v>
      </c>
      <c r="AZ26" s="34">
        <v>2.62315E-6</v>
      </c>
      <c r="BA26" s="34">
        <v>2.74764E-6</v>
      </c>
      <c r="BB26" s="34">
        <v>2.8719500000000001E-6</v>
      </c>
      <c r="BC26" s="34">
        <v>2.9960300000000002E-6</v>
      </c>
      <c r="BD26" s="34">
        <v>3.1198199999999999E-6</v>
      </c>
      <c r="BE26" s="34">
        <v>3.2432799999999998E-6</v>
      </c>
    </row>
    <row r="27" spans="1:57" ht="13">
      <c r="A27" s="6" t="s">
        <v>41</v>
      </c>
      <c r="B27" s="47" t="s">
        <v>42</v>
      </c>
    </row>
    <row r="28" spans="1:57">
      <c r="A28" s="10"/>
    </row>
    <row r="29" spans="1:57" ht="15.75" customHeight="1">
      <c r="A29" s="6">
        <v>1</v>
      </c>
      <c r="B29" s="48" t="s">
        <v>43</v>
      </c>
      <c r="C29" s="45">
        <v>97.747500000000002</v>
      </c>
      <c r="D29" s="45">
        <v>97.616900000000001</v>
      </c>
      <c r="E29" s="45">
        <v>97.490899999999996</v>
      </c>
      <c r="F29" s="45">
        <v>97.369799999999998</v>
      </c>
      <c r="G29" s="45">
        <v>97.254000000000005</v>
      </c>
      <c r="H29" s="45">
        <v>97.143699999999995</v>
      </c>
      <c r="I29" s="45">
        <v>97.039199999999994</v>
      </c>
      <c r="J29" s="47"/>
      <c r="K29" s="45">
        <v>98.471100000000007</v>
      </c>
      <c r="L29" s="45">
        <v>98.371099999999998</v>
      </c>
      <c r="M29" s="45">
        <v>98.273399999999995</v>
      </c>
      <c r="N29" s="45">
        <v>98.178100000000001</v>
      </c>
      <c r="O29" s="45">
        <v>98.085499999999996</v>
      </c>
      <c r="P29" s="45">
        <v>97.995900000000006</v>
      </c>
      <c r="Q29" s="45">
        <v>97.909400000000005</v>
      </c>
      <c r="R29" s="47"/>
      <c r="S29" s="45">
        <v>98.9529</v>
      </c>
      <c r="T29" s="45">
        <v>98.876499999999993</v>
      </c>
      <c r="U29" s="45">
        <v>98.800899999999999</v>
      </c>
      <c r="V29" s="45">
        <v>98.726200000000006</v>
      </c>
      <c r="W29" s="45">
        <v>98.652600000000007</v>
      </c>
      <c r="X29" s="45">
        <v>98.580399999999997</v>
      </c>
      <c r="Y29" s="45">
        <v>98.509799999999998</v>
      </c>
      <c r="Z29" s="18"/>
      <c r="AA29" s="45">
        <v>99.278199999999998</v>
      </c>
      <c r="AB29" s="45">
        <v>99.219099999999997</v>
      </c>
      <c r="AC29" s="45">
        <v>99.1601</v>
      </c>
      <c r="AD29" s="45">
        <v>99.101399999999998</v>
      </c>
      <c r="AE29" s="45">
        <v>99.0428</v>
      </c>
      <c r="AF29" s="45">
        <v>98.984700000000004</v>
      </c>
      <c r="AG29" s="45">
        <v>98.927000000000007</v>
      </c>
      <c r="AH29" s="19"/>
      <c r="AI29" s="45">
        <v>99.502399999999994</v>
      </c>
      <c r="AJ29" s="45">
        <v>99.456100000000006</v>
      </c>
      <c r="AK29" s="45">
        <v>99.409599999999998</v>
      </c>
      <c r="AL29" s="45">
        <v>99.362899999999996</v>
      </c>
      <c r="AM29" s="45">
        <v>99.316000000000003</v>
      </c>
      <c r="AN29" s="45">
        <v>99.269000000000005</v>
      </c>
      <c r="AO29" s="45">
        <v>99.221999999999994</v>
      </c>
      <c r="AP29" s="18"/>
      <c r="AQ29" s="45">
        <v>99.659499999999994</v>
      </c>
      <c r="AR29" s="45">
        <v>99.623000000000005</v>
      </c>
      <c r="AS29" s="45">
        <v>99.586100000000002</v>
      </c>
      <c r="AT29" s="45">
        <v>99.548699999999997</v>
      </c>
      <c r="AU29" s="45">
        <v>99.510999999999996</v>
      </c>
      <c r="AV29" s="45">
        <v>99.472800000000007</v>
      </c>
      <c r="AW29" s="45">
        <v>99.434200000000004</v>
      </c>
      <c r="AX29" s="19"/>
      <c r="AY29" s="45">
        <v>99.769499999999994</v>
      </c>
      <c r="AZ29" s="45">
        <v>99.741</v>
      </c>
      <c r="BA29" s="45">
        <v>99.711799999999997</v>
      </c>
      <c r="BB29" s="45">
        <v>99.681799999999996</v>
      </c>
      <c r="BC29" s="45">
        <v>99.6511</v>
      </c>
      <c r="BD29" s="45">
        <v>99.619799999999998</v>
      </c>
      <c r="BE29" s="45">
        <v>99.587900000000005</v>
      </c>
    </row>
    <row r="30" spans="1:57" ht="15.75" customHeight="1">
      <c r="A30" s="11"/>
      <c r="B30" s="48" t="s">
        <v>44</v>
      </c>
      <c r="C30" s="45">
        <v>60.4206</v>
      </c>
      <c r="D30" s="45">
        <v>62.2699</v>
      </c>
      <c r="E30" s="45">
        <v>64.121700000000004</v>
      </c>
      <c r="F30" s="45">
        <v>65.979699999999994</v>
      </c>
      <c r="G30" s="45">
        <v>67.8476</v>
      </c>
      <c r="H30" s="45">
        <v>69.7286</v>
      </c>
      <c r="I30" s="45">
        <v>71.625900000000001</v>
      </c>
      <c r="J30" s="47"/>
      <c r="K30" s="45">
        <v>63.784500000000001</v>
      </c>
      <c r="L30" s="45">
        <v>65.573499999999996</v>
      </c>
      <c r="M30" s="45">
        <v>67.351100000000002</v>
      </c>
      <c r="N30" s="45">
        <v>69.120400000000004</v>
      </c>
      <c r="O30" s="45">
        <v>70.884699999999995</v>
      </c>
      <c r="P30" s="45">
        <v>72.647000000000006</v>
      </c>
      <c r="Q30" s="45">
        <v>74.409899999999993</v>
      </c>
      <c r="R30" s="47"/>
      <c r="S30" s="45">
        <v>67.262100000000004</v>
      </c>
      <c r="T30" s="45">
        <v>68.995999999999995</v>
      </c>
      <c r="U30" s="45">
        <v>70.705299999999994</v>
      </c>
      <c r="V30" s="45">
        <v>72.393799999999999</v>
      </c>
      <c r="W30" s="45">
        <v>74.064499999999995</v>
      </c>
      <c r="X30" s="45">
        <v>75.720500000000001</v>
      </c>
      <c r="Y30" s="45">
        <v>77.364599999999996</v>
      </c>
      <c r="Z30" s="18"/>
      <c r="AA30" s="45">
        <v>70.778499999999994</v>
      </c>
      <c r="AB30" s="45">
        <v>72.468500000000006</v>
      </c>
      <c r="AC30" s="45">
        <v>74.118099999999998</v>
      </c>
      <c r="AD30" s="45">
        <v>75.733099999999993</v>
      </c>
      <c r="AE30" s="45">
        <v>77.317800000000005</v>
      </c>
      <c r="AF30" s="45">
        <v>78.875900000000001</v>
      </c>
      <c r="AG30" s="45">
        <v>80.410600000000002</v>
      </c>
      <c r="AH30" s="19"/>
      <c r="AI30" s="45">
        <v>74.192800000000005</v>
      </c>
      <c r="AJ30" s="45">
        <v>75.864099999999993</v>
      </c>
      <c r="AK30" s="45">
        <v>77.472800000000007</v>
      </c>
      <c r="AL30" s="45">
        <v>79.028199999999998</v>
      </c>
      <c r="AM30" s="45">
        <v>80.537300000000002</v>
      </c>
      <c r="AN30" s="45">
        <v>82.005799999999994</v>
      </c>
      <c r="AO30" s="45">
        <v>83.438000000000002</v>
      </c>
      <c r="AP30" s="18"/>
      <c r="AQ30" s="45">
        <v>77.310599999999994</v>
      </c>
      <c r="AR30" s="45">
        <v>78.996200000000002</v>
      </c>
      <c r="AS30" s="45">
        <v>80.590699999999998</v>
      </c>
      <c r="AT30" s="45">
        <v>82.1066</v>
      </c>
      <c r="AU30" s="45">
        <v>83.554400000000001</v>
      </c>
      <c r="AV30" s="45">
        <v>84.941999999999993</v>
      </c>
      <c r="AW30" s="45">
        <v>86.275400000000005</v>
      </c>
      <c r="AX30" s="19"/>
      <c r="AY30" s="45">
        <v>79.9512</v>
      </c>
      <c r="AZ30" s="45">
        <v>81.673599999999993</v>
      </c>
      <c r="BA30" s="45">
        <v>83.274299999999997</v>
      </c>
      <c r="BB30" s="45">
        <v>84.767700000000005</v>
      </c>
      <c r="BC30" s="45">
        <v>86.165800000000004</v>
      </c>
      <c r="BD30" s="45">
        <v>87.4786</v>
      </c>
      <c r="BE30" s="45">
        <v>88.714299999999994</v>
      </c>
    </row>
    <row r="31" spans="1:57">
      <c r="B31" s="81" t="s">
        <v>45</v>
      </c>
      <c r="C31" s="92">
        <f t="shared" ref="C31:I31" si="7">C26/(C20+C26)</f>
        <v>0.51793091171734496</v>
      </c>
      <c r="D31" s="92">
        <f t="shared" si="7"/>
        <v>0.51962192285477904</v>
      </c>
      <c r="E31" s="92">
        <f t="shared" si="7"/>
        <v>0.52131667288325245</v>
      </c>
      <c r="F31" s="92">
        <f t="shared" si="7"/>
        <v>0.52299080510684504</v>
      </c>
      <c r="G31" s="92">
        <f t="shared" si="7"/>
        <v>0.52461505505333961</v>
      </c>
      <c r="H31" s="92">
        <f t="shared" si="7"/>
        <v>0.52614848438930872</v>
      </c>
      <c r="I31" s="92">
        <f t="shared" si="7"/>
        <v>0.52753763347099902</v>
      </c>
      <c r="J31" s="92"/>
      <c r="K31" s="92">
        <f t="shared" ref="K31:Q31" si="8">K26/(K20+K26)</f>
        <v>0.51094433894242985</v>
      </c>
      <c r="L31" s="92">
        <f t="shared" si="8"/>
        <v>0.51199539934320593</v>
      </c>
      <c r="M31" s="92">
        <f t="shared" si="8"/>
        <v>0.51304153160753674</v>
      </c>
      <c r="N31" s="92">
        <f t="shared" si="8"/>
        <v>0.51406494675159964</v>
      </c>
      <c r="O31" s="92">
        <f t="shared" si="8"/>
        <v>0.51503875020602774</v>
      </c>
      <c r="P31" s="92">
        <f t="shared" si="8"/>
        <v>0.51593616065961878</v>
      </c>
      <c r="Q31" s="92">
        <f t="shared" si="8"/>
        <v>0.51671796999109065</v>
      </c>
      <c r="R31" s="92"/>
      <c r="S31" s="92">
        <f t="shared" ref="S31:Y31" si="9">S26/(S20+S26)</f>
        <v>0.50675977484260204</v>
      </c>
      <c r="T31" s="92">
        <f t="shared" si="9"/>
        <v>0.50740992600669232</v>
      </c>
      <c r="U31" s="92">
        <f t="shared" si="9"/>
        <v>0.50805016516226387</v>
      </c>
      <c r="V31" s="92">
        <f t="shared" si="9"/>
        <v>0.50866428854538248</v>
      </c>
      <c r="W31" s="92">
        <f t="shared" si="9"/>
        <v>0.50923610782611051</v>
      </c>
      <c r="X31" s="92">
        <f t="shared" si="9"/>
        <v>0.50974393266323337</v>
      </c>
      <c r="Y31" s="92">
        <f t="shared" si="9"/>
        <v>0.51016299840859081</v>
      </c>
      <c r="Z31" s="92"/>
      <c r="AA31" s="92">
        <f t="shared" ref="AA31:AG31" si="10">AA26/(AA20+AA26)</f>
        <v>0.5042144281713975</v>
      </c>
      <c r="AB31" s="92">
        <f t="shared" si="10"/>
        <v>0.50461892877711645</v>
      </c>
      <c r="AC31" s="92">
        <f t="shared" si="10"/>
        <v>0.50500842530267831</v>
      </c>
      <c r="AD31" s="92">
        <f t="shared" si="10"/>
        <v>0.50537262671695038</v>
      </c>
      <c r="AE31" s="92">
        <f t="shared" si="10"/>
        <v>0.50569871284646206</v>
      </c>
      <c r="AF31" s="92">
        <f t="shared" si="10"/>
        <v>0.50597102742405287</v>
      </c>
      <c r="AG31" s="92">
        <f t="shared" si="10"/>
        <v>0.50617161074608297</v>
      </c>
      <c r="AH31" s="92"/>
      <c r="AI31" s="92">
        <f t="shared" ref="AI31:AO31" si="11">AI26/(AI20+AI26)</f>
        <v>0.50261300229944195</v>
      </c>
      <c r="AJ31" s="92">
        <f t="shared" si="11"/>
        <v>0.50286511000796719</v>
      </c>
      <c r="AK31" s="92">
        <f t="shared" si="11"/>
        <v>0.5031001258340162</v>
      </c>
      <c r="AL31" s="92">
        <f t="shared" si="11"/>
        <v>0.50331065553254917</v>
      </c>
      <c r="AM31" s="92">
        <f t="shared" si="11"/>
        <v>0.50348550753822818</v>
      </c>
      <c r="AN31" s="92">
        <f t="shared" si="11"/>
        <v>0.50361603465977678</v>
      </c>
      <c r="AO31" s="92">
        <f t="shared" si="11"/>
        <v>0.50368947333330238</v>
      </c>
      <c r="AP31" s="92"/>
      <c r="AQ31" s="92">
        <f t="shared" ref="AQ31:AW31" si="12">AQ26/(AQ20+AQ26)</f>
        <v>0.50156232126623279</v>
      </c>
      <c r="AR31" s="92">
        <f t="shared" si="12"/>
        <v>0.50171599228329256</v>
      </c>
      <c r="AS31" s="92">
        <f t="shared" si="12"/>
        <v>0.50185312310579777</v>
      </c>
      <c r="AT31" s="92">
        <f t="shared" si="12"/>
        <v>0.50196626514443443</v>
      </c>
      <c r="AU31" s="92">
        <f t="shared" si="12"/>
        <v>0.50204834976367774</v>
      </c>
      <c r="AV31" s="92">
        <f t="shared" si="12"/>
        <v>0.50209182811783726</v>
      </c>
      <c r="AW31" s="92">
        <f t="shared" si="12"/>
        <v>0.50208874214400867</v>
      </c>
      <c r="AX31" s="92"/>
      <c r="AY31" s="92">
        <f t="shared" ref="AY31:BE31" si="13">AY26/(AY20+AY26)</f>
        <v>0.50085898080974722</v>
      </c>
      <c r="AZ31" s="92">
        <f t="shared" si="13"/>
        <v>0.50094530593537545</v>
      </c>
      <c r="BA31" s="92">
        <f t="shared" si="13"/>
        <v>0.50101474248516176</v>
      </c>
      <c r="BB31" s="92">
        <f t="shared" si="13"/>
        <v>0.50106338248096993</v>
      </c>
      <c r="BC31" s="92">
        <f t="shared" si="13"/>
        <v>0.50108628933931199</v>
      </c>
      <c r="BD31" s="92">
        <f t="shared" si="13"/>
        <v>0.50107689564953428</v>
      </c>
      <c r="BE31" s="92">
        <f t="shared" si="13"/>
        <v>0.5010311730965008</v>
      </c>
    </row>
    <row r="32" spans="1:57" ht="15.75" customHeight="1">
      <c r="B32" s="48" t="s">
        <v>46</v>
      </c>
      <c r="C32" s="93">
        <f t="shared" ref="C32:I32" si="14">C17/C14</f>
        <v>2.0524535567187536</v>
      </c>
      <c r="D32" s="92">
        <f t="shared" si="14"/>
        <v>2.2678024157650332</v>
      </c>
      <c r="E32" s="92">
        <f t="shared" si="14"/>
        <v>2.5091417551414241</v>
      </c>
      <c r="F32" s="92">
        <f t="shared" si="14"/>
        <v>2.7814914447848427</v>
      </c>
      <c r="G32" s="92">
        <f t="shared" si="14"/>
        <v>3.0911815435883021</v>
      </c>
      <c r="H32" s="92">
        <f t="shared" si="14"/>
        <v>3.4463011564070181</v>
      </c>
      <c r="I32" s="92">
        <f t="shared" si="14"/>
        <v>3.8573392017732377</v>
      </c>
      <c r="J32" s="92"/>
      <c r="K32" s="93">
        <f t="shared" ref="K32:Q32" si="15">K17/K14</f>
        <v>1.8519346495198865</v>
      </c>
      <c r="L32" s="92">
        <f t="shared" si="15"/>
        <v>2.0427287492653874</v>
      </c>
      <c r="M32" s="92">
        <f t="shared" si="15"/>
        <v>2.2556282226122941</v>
      </c>
      <c r="N32" s="92">
        <f t="shared" si="15"/>
        <v>2.4947552769423278</v>
      </c>
      <c r="O32" s="92">
        <f t="shared" si="15"/>
        <v>2.7652816731000205</v>
      </c>
      <c r="P32" s="92">
        <f t="shared" si="15"/>
        <v>3.0737761928786997</v>
      </c>
      <c r="Q32" s="92">
        <f t="shared" si="15"/>
        <v>3.4286983434011131</v>
      </c>
      <c r="R32" s="92"/>
      <c r="S32" s="92">
        <f t="shared" ref="S32:Y32" si="16">S17/S14</f>
        <v>1.6873978811710184</v>
      </c>
      <c r="T32" s="93">
        <f t="shared" si="16"/>
        <v>1.8585897924584274</v>
      </c>
      <c r="U32" s="92">
        <f t="shared" si="16"/>
        <v>2.0489886921012745</v>
      </c>
      <c r="V32" s="92">
        <f t="shared" si="16"/>
        <v>2.2620356092134264</v>
      </c>
      <c r="W32" s="92">
        <f t="shared" si="16"/>
        <v>2.5020394233822318</v>
      </c>
      <c r="X32" s="92">
        <f t="shared" si="16"/>
        <v>2.7744511180631326</v>
      </c>
      <c r="Y32" s="92">
        <f t="shared" si="16"/>
        <v>3.0862440997634457</v>
      </c>
      <c r="Z32" s="92"/>
      <c r="AA32" s="92">
        <f t="shared" ref="AA32:AG32" si="17">AA17/AA14</f>
        <v>1.5532035658053851</v>
      </c>
      <c r="AB32" s="92">
        <f t="shared" si="17"/>
        <v>1.7083467161181864</v>
      </c>
      <c r="AC32" s="93">
        <f t="shared" si="17"/>
        <v>1.8805511935391355</v>
      </c>
      <c r="AD32" s="92">
        <f t="shared" si="17"/>
        <v>2.072742557785948</v>
      </c>
      <c r="AE32" s="92">
        <f t="shared" si="17"/>
        <v>2.2885787992839939</v>
      </c>
      <c r="AF32" s="92">
        <f t="shared" si="17"/>
        <v>2.5326851395209813</v>
      </c>
      <c r="AG32" s="92">
        <f t="shared" si="17"/>
        <v>2.8109689481617601</v>
      </c>
      <c r="AH32" s="92"/>
      <c r="AI32" s="92">
        <f t="shared" ref="AI32:AO32" si="18">AI17/AI14</f>
        <v>1.4461524641315866</v>
      </c>
      <c r="AJ32" s="92">
        <f t="shared" si="18"/>
        <v>1.5879729139642391</v>
      </c>
      <c r="AK32" s="92">
        <f t="shared" si="18"/>
        <v>1.7452704969332642</v>
      </c>
      <c r="AL32" s="92">
        <f t="shared" si="18"/>
        <v>1.9206076516226092</v>
      </c>
      <c r="AM32" s="92">
        <f t="shared" si="18"/>
        <v>2.1171853770357472</v>
      </c>
      <c r="AN32" s="92">
        <f t="shared" si="18"/>
        <v>2.3390512942397645</v>
      </c>
      <c r="AO32" s="92">
        <f t="shared" si="18"/>
        <v>2.5913920219861097</v>
      </c>
      <c r="AP32" s="92"/>
      <c r="AQ32" s="92">
        <f t="shared" ref="AQ32:AW32" si="19">AQ17/AQ14</f>
        <v>1.3639141693725654</v>
      </c>
      <c r="AR32" s="92">
        <f t="shared" si="19"/>
        <v>1.4949152994744661</v>
      </c>
      <c r="AS32" s="92">
        <f t="shared" si="19"/>
        <v>1.6402183843245639</v>
      </c>
      <c r="AT32" s="93">
        <f t="shared" si="19"/>
        <v>1.8021817559125122</v>
      </c>
      <c r="AU32" s="92">
        <f t="shared" si="19"/>
        <v>1.9837444539262079</v>
      </c>
      <c r="AV32" s="92">
        <f t="shared" si="19"/>
        <v>2.1886346141315127</v>
      </c>
      <c r="AW32" s="92">
        <f t="shared" si="19"/>
        <v>2.4216495699982228</v>
      </c>
      <c r="AX32" s="92"/>
      <c r="AY32" s="92">
        <f t="shared" ref="AY32:BE32" si="20">AY17/AY14</f>
        <v>1.3036319779375856</v>
      </c>
      <c r="AZ32" s="92">
        <f t="shared" si="20"/>
        <v>1.4264224996803578</v>
      </c>
      <c r="BA32" s="92">
        <f t="shared" si="20"/>
        <v>1.5626586393521824</v>
      </c>
      <c r="BB32" s="92">
        <f t="shared" si="20"/>
        <v>1.714640221041011</v>
      </c>
      <c r="BC32" s="93">
        <f t="shared" si="20"/>
        <v>1.8852262248364209</v>
      </c>
      <c r="BD32" s="92">
        <f t="shared" si="20"/>
        <v>2.0780477027736768</v>
      </c>
      <c r="BE32" s="92">
        <f t="shared" si="20"/>
        <v>2.2977751617546915</v>
      </c>
    </row>
    <row r="34" spans="1:57">
      <c r="C34" s="92">
        <f t="shared" ref="C34:I34" si="21">ABS(C32-1.9)</f>
        <v>0.15245355671875371</v>
      </c>
      <c r="D34" s="92">
        <f t="shared" si="21"/>
        <v>0.36780241576503325</v>
      </c>
      <c r="E34" s="92">
        <f t="shared" si="21"/>
        <v>0.60914175514142421</v>
      </c>
      <c r="F34" s="92">
        <f t="shared" si="21"/>
        <v>0.88149144478484276</v>
      </c>
      <c r="G34" s="92">
        <f t="shared" si="21"/>
        <v>1.1911815435883022</v>
      </c>
      <c r="H34" s="92">
        <f t="shared" si="21"/>
        <v>1.5463011564070182</v>
      </c>
      <c r="I34" s="92">
        <f t="shared" si="21"/>
        <v>1.9573392017732378</v>
      </c>
      <c r="J34" s="92"/>
      <c r="K34" s="93">
        <f t="shared" ref="K34:Q34" si="22">ABS(K32-1.9)</f>
        <v>4.80653504801134E-2</v>
      </c>
      <c r="L34" s="93">
        <f t="shared" si="22"/>
        <v>0.14272874926538748</v>
      </c>
      <c r="M34" s="92">
        <f t="shared" si="22"/>
        <v>0.35562822261229421</v>
      </c>
      <c r="N34" s="92">
        <f t="shared" si="22"/>
        <v>0.59475527694232788</v>
      </c>
      <c r="O34" s="92">
        <f t="shared" si="22"/>
        <v>0.86528167310002058</v>
      </c>
      <c r="P34" s="92">
        <f t="shared" si="22"/>
        <v>1.1737761928786998</v>
      </c>
      <c r="Q34" s="92">
        <f t="shared" si="22"/>
        <v>1.5286983434011132</v>
      </c>
      <c r="R34" s="92"/>
      <c r="S34" s="92">
        <f t="shared" ref="S34:Y34" si="23">ABS(S32-1.9)</f>
        <v>0.2126021188289815</v>
      </c>
      <c r="T34" s="93">
        <f t="shared" si="23"/>
        <v>4.1410207541572541E-2</v>
      </c>
      <c r="U34" s="92">
        <f t="shared" si="23"/>
        <v>0.14898869210127463</v>
      </c>
      <c r="V34" s="92">
        <f t="shared" si="23"/>
        <v>0.36203560921342648</v>
      </c>
      <c r="W34" s="92">
        <f t="shared" si="23"/>
        <v>0.60203942338223193</v>
      </c>
      <c r="X34" s="92">
        <f t="shared" si="23"/>
        <v>0.87445111806313269</v>
      </c>
      <c r="Y34" s="92">
        <f t="shared" si="23"/>
        <v>1.1862440997634458</v>
      </c>
      <c r="Z34" s="92"/>
      <c r="AA34" s="92">
        <f t="shared" ref="AA34:AG34" si="24">ABS(AA32-1.9)</f>
        <v>0.34679643419461481</v>
      </c>
      <c r="AB34" s="92">
        <f t="shared" si="24"/>
        <v>0.19165328388181346</v>
      </c>
      <c r="AC34" s="93">
        <f t="shared" si="24"/>
        <v>1.9448806460864443E-2</v>
      </c>
      <c r="AD34" s="92">
        <f t="shared" si="24"/>
        <v>0.17274255778594805</v>
      </c>
      <c r="AE34" s="92">
        <f t="shared" si="24"/>
        <v>0.38857879928399397</v>
      </c>
      <c r="AF34" s="92">
        <f t="shared" si="24"/>
        <v>0.63268513952098138</v>
      </c>
      <c r="AG34" s="92">
        <f t="shared" si="24"/>
        <v>0.91096894816176022</v>
      </c>
      <c r="AH34" s="92"/>
      <c r="AI34" s="92">
        <f t="shared" ref="AI34:AO34" si="25">ABS(AI32-1.9)</f>
        <v>0.45384753586841331</v>
      </c>
      <c r="AJ34" s="92">
        <f t="shared" si="25"/>
        <v>0.31202708603576079</v>
      </c>
      <c r="AK34" s="92">
        <f t="shared" si="25"/>
        <v>0.15472950306673572</v>
      </c>
      <c r="AL34" s="93">
        <f t="shared" si="25"/>
        <v>2.0607651622609247E-2</v>
      </c>
      <c r="AM34" s="92">
        <f t="shared" si="25"/>
        <v>0.21718537703574725</v>
      </c>
      <c r="AN34" s="92">
        <f t="shared" si="25"/>
        <v>0.43905129423976463</v>
      </c>
      <c r="AO34" s="92">
        <f t="shared" si="25"/>
        <v>0.69139202198610983</v>
      </c>
      <c r="AP34" s="92"/>
      <c r="AQ34" s="92">
        <f t="shared" ref="AQ34:AW34" si="26">ABS(AQ32-1.9)</f>
        <v>0.53608583062743453</v>
      </c>
      <c r="AR34" s="92">
        <f t="shared" si="26"/>
        <v>0.4050847005255338</v>
      </c>
      <c r="AS34" s="92">
        <f t="shared" si="26"/>
        <v>0.25978161567543601</v>
      </c>
      <c r="AT34" s="93">
        <f t="shared" si="26"/>
        <v>9.7818244087487738E-2</v>
      </c>
      <c r="AU34" s="93">
        <f t="shared" si="26"/>
        <v>8.3744453926207996E-2</v>
      </c>
      <c r="AV34" s="92">
        <f t="shared" si="26"/>
        <v>0.28863461413151281</v>
      </c>
      <c r="AW34" s="92">
        <f t="shared" si="26"/>
        <v>0.52164956999822287</v>
      </c>
      <c r="AX34" s="92"/>
      <c r="AY34" s="92">
        <f t="shared" ref="AY34:BE34" si="27">ABS(AY32-1.9)</f>
        <v>0.59636802206241435</v>
      </c>
      <c r="AZ34" s="92">
        <f t="shared" si="27"/>
        <v>0.47357750031964208</v>
      </c>
      <c r="BA34" s="92">
        <f t="shared" si="27"/>
        <v>0.3373413606478175</v>
      </c>
      <c r="BB34" s="92">
        <f t="shared" si="27"/>
        <v>0.18535977895898892</v>
      </c>
      <c r="BC34" s="93">
        <f t="shared" si="27"/>
        <v>1.4773775163579028E-2</v>
      </c>
      <c r="BD34" s="92">
        <f t="shared" si="27"/>
        <v>0.17804770277367687</v>
      </c>
      <c r="BE34" s="92">
        <f t="shared" si="27"/>
        <v>0.39777516175469163</v>
      </c>
    </row>
    <row r="35" spans="1:57">
      <c r="A35">
        <v>12</v>
      </c>
      <c r="B35" t="s">
        <v>64</v>
      </c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92"/>
      <c r="S35" s="92"/>
      <c r="T35" s="92"/>
      <c r="U35" s="92"/>
      <c r="V35" s="92"/>
      <c r="W35" s="92"/>
      <c r="X35" s="92"/>
      <c r="Y35" s="92"/>
      <c r="Z35" s="92"/>
      <c r="AA35" s="92"/>
      <c r="AB35" s="92"/>
      <c r="AC35" s="92"/>
      <c r="AD35" s="92"/>
      <c r="AE35" s="92"/>
      <c r="AF35" s="92"/>
      <c r="AG35" s="92"/>
      <c r="AH35" s="92"/>
      <c r="AI35" s="92"/>
      <c r="AJ35" s="92"/>
      <c r="AK35" s="92"/>
      <c r="AL35" s="92"/>
      <c r="AM35" s="92"/>
      <c r="AN35" s="92"/>
      <c r="AO35" s="92"/>
      <c r="AP35" s="92"/>
      <c r="AQ35" s="92"/>
      <c r="AR35" s="92"/>
      <c r="AS35" s="92"/>
      <c r="AT35" s="92"/>
      <c r="AU35" s="92"/>
      <c r="AV35" s="92"/>
      <c r="AW35" s="92"/>
      <c r="AX35" s="92"/>
      <c r="AY35" s="92"/>
      <c r="AZ35" s="92"/>
      <c r="BA35" s="92"/>
      <c r="BB35" s="92"/>
      <c r="BC35" s="92"/>
      <c r="BD35" s="92"/>
      <c r="BE35" s="92"/>
    </row>
    <row r="36" spans="1:57"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  <c r="AA36" s="92"/>
      <c r="AB36" s="92"/>
      <c r="AC36" s="92"/>
      <c r="AD36" s="92"/>
      <c r="AE36" s="92"/>
      <c r="AF36" s="92"/>
      <c r="AG36" s="92"/>
      <c r="AH36" s="92"/>
      <c r="AI36" s="92"/>
      <c r="AJ36" s="92"/>
      <c r="AK36" s="92"/>
      <c r="AL36" s="92"/>
      <c r="AM36" s="92"/>
      <c r="AN36" s="92"/>
      <c r="AO36" s="92"/>
      <c r="AP36" s="92"/>
      <c r="AQ36" s="92"/>
      <c r="AR36" s="92"/>
      <c r="AS36" s="92"/>
      <c r="AT36" s="92"/>
      <c r="AU36" s="92"/>
      <c r="AV36" s="92"/>
      <c r="AW36" s="92"/>
      <c r="AX36" s="92"/>
      <c r="AY36" s="92"/>
      <c r="AZ36" s="92"/>
      <c r="BA36" s="92"/>
      <c r="BB36" s="92"/>
      <c r="BC36" s="92" t="s">
        <v>65</v>
      </c>
      <c r="BD36" s="92"/>
      <c r="BE36" s="92"/>
    </row>
    <row r="37" spans="1:57" ht="23.25" customHeight="1">
      <c r="A37" s="53" t="s">
        <v>66</v>
      </c>
      <c r="B37" s="5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92"/>
      <c r="V37" s="92"/>
      <c r="W37" s="92"/>
      <c r="X37" s="92"/>
      <c r="Y37" s="92"/>
      <c r="Z37" s="92"/>
      <c r="AA37" s="92"/>
      <c r="AB37" s="92"/>
      <c r="AC37" s="92"/>
      <c r="AD37" s="92"/>
      <c r="AE37" s="92"/>
      <c r="AF37" s="92"/>
      <c r="AG37" s="92"/>
      <c r="AH37" s="92"/>
      <c r="AI37" s="92"/>
      <c r="AJ37" s="92"/>
      <c r="AK37" s="92"/>
      <c r="AL37" s="92"/>
      <c r="AM37" s="92"/>
      <c r="AN37" s="92"/>
      <c r="AO37" s="92"/>
      <c r="AP37" s="92"/>
      <c r="AQ37" s="92"/>
      <c r="AR37" s="92"/>
      <c r="AS37" s="92"/>
      <c r="AT37" s="92"/>
      <c r="AU37" s="92"/>
      <c r="AV37" s="92"/>
      <c r="AW37" s="92"/>
      <c r="AX37" s="92"/>
      <c r="AY37" s="92"/>
      <c r="AZ37" s="92"/>
      <c r="BA37" s="92"/>
      <c r="BB37" s="92"/>
      <c r="BC37" s="92"/>
      <c r="BD37" s="92"/>
      <c r="BE37" s="92"/>
    </row>
    <row r="38" spans="1:57" ht="18.75" customHeight="1">
      <c r="B38" s="57" t="s">
        <v>67</v>
      </c>
    </row>
    <row r="40" spans="1:57" ht="13">
      <c r="B40" t="s">
        <v>47</v>
      </c>
      <c r="C40" s="56" t="s">
        <v>9</v>
      </c>
      <c r="D40" s="56" t="s">
        <v>9</v>
      </c>
      <c r="E40" s="56" t="s">
        <v>9</v>
      </c>
      <c r="F40" s="56" t="s">
        <v>9</v>
      </c>
      <c r="G40" s="56" t="s">
        <v>9</v>
      </c>
      <c r="H40" s="54" t="s">
        <v>9</v>
      </c>
      <c r="I40" s="54" t="s">
        <v>9</v>
      </c>
      <c r="K40" s="55" t="s">
        <v>61</v>
      </c>
      <c r="L40" s="55" t="s">
        <v>61</v>
      </c>
      <c r="M40" s="55" t="s">
        <v>61</v>
      </c>
      <c r="N40" s="55" t="s">
        <v>61</v>
      </c>
      <c r="O40" s="55" t="s">
        <v>61</v>
      </c>
      <c r="P40" s="54" t="s">
        <v>61</v>
      </c>
      <c r="Q40" s="54" t="s">
        <v>61</v>
      </c>
      <c r="S40" s="56" t="s">
        <v>10</v>
      </c>
      <c r="T40" s="56" t="s">
        <v>10</v>
      </c>
      <c r="U40" s="56" t="s">
        <v>10</v>
      </c>
      <c r="V40" s="56" t="s">
        <v>10</v>
      </c>
      <c r="W40" s="56" t="s">
        <v>10</v>
      </c>
      <c r="X40" s="54" t="s">
        <v>10</v>
      </c>
      <c r="Y40" s="54" t="s">
        <v>10</v>
      </c>
      <c r="AA40" t="s">
        <v>62</v>
      </c>
      <c r="AB40" t="s">
        <v>62</v>
      </c>
      <c r="AC40" t="s">
        <v>62</v>
      </c>
      <c r="AD40" t="s">
        <v>62</v>
      </c>
      <c r="AE40" t="s">
        <v>62</v>
      </c>
      <c r="AF40" s="54" t="s">
        <v>62</v>
      </c>
      <c r="AG40" s="54" t="s">
        <v>62</v>
      </c>
      <c r="AI40" t="s">
        <v>11</v>
      </c>
      <c r="AJ40" t="s">
        <v>11</v>
      </c>
      <c r="AK40" t="s">
        <v>11</v>
      </c>
      <c r="AL40" t="s">
        <v>11</v>
      </c>
      <c r="AM40" t="s">
        <v>11</v>
      </c>
      <c r="AN40" s="54" t="s">
        <v>11</v>
      </c>
      <c r="AO40" s="54" t="s">
        <v>11</v>
      </c>
      <c r="AQ40" t="s">
        <v>63</v>
      </c>
      <c r="AR40" t="s">
        <v>63</v>
      </c>
      <c r="AS40" t="s">
        <v>63</v>
      </c>
      <c r="AT40" t="s">
        <v>63</v>
      </c>
      <c r="AU40" t="s">
        <v>63</v>
      </c>
      <c r="AV40" s="54" t="s">
        <v>63</v>
      </c>
      <c r="AW40" s="54" t="s">
        <v>63</v>
      </c>
      <c r="AY40" t="s">
        <v>12</v>
      </c>
      <c r="AZ40" t="s">
        <v>12</v>
      </c>
      <c r="BA40" t="s">
        <v>12</v>
      </c>
      <c r="BB40" t="s">
        <v>12</v>
      </c>
      <c r="BC40" t="s">
        <v>12</v>
      </c>
      <c r="BD40" s="54" t="s">
        <v>12</v>
      </c>
      <c r="BE40" s="54" t="s">
        <v>12</v>
      </c>
    </row>
    <row r="41" spans="1:57" ht="13">
      <c r="C41" s="56"/>
      <c r="D41" s="56"/>
      <c r="E41" s="56"/>
      <c r="F41" s="56"/>
      <c r="G41" s="56"/>
      <c r="H41" s="54"/>
      <c r="I41" s="54"/>
      <c r="K41" s="55"/>
      <c r="L41" s="55"/>
      <c r="M41" s="55"/>
      <c r="N41" s="55"/>
      <c r="O41" s="55"/>
      <c r="P41" s="54"/>
      <c r="Q41" s="54"/>
      <c r="S41" s="56"/>
      <c r="T41" s="56"/>
      <c r="U41" s="56"/>
      <c r="V41" s="56"/>
      <c r="W41" s="56"/>
      <c r="X41" s="54"/>
      <c r="Y41" s="54"/>
      <c r="AF41" s="54"/>
      <c r="AG41" s="54"/>
      <c r="AN41" s="54"/>
      <c r="AO41" s="54"/>
      <c r="AV41" s="54"/>
      <c r="AW41" s="54"/>
      <c r="BD41" s="54"/>
      <c r="BE41" s="54"/>
    </row>
    <row r="42" spans="1:57" ht="13">
      <c r="B42" t="s">
        <v>21</v>
      </c>
      <c r="C42" s="58">
        <v>0.5</v>
      </c>
      <c r="D42" s="58">
        <v>0.52500000000000002</v>
      </c>
      <c r="E42" s="58">
        <v>0.55000000000000004</v>
      </c>
      <c r="F42" s="58">
        <v>0.57499999999999996</v>
      </c>
      <c r="G42" s="58">
        <v>0.6</v>
      </c>
      <c r="H42" s="54">
        <v>0.625</v>
      </c>
      <c r="I42" s="54">
        <v>0.65</v>
      </c>
      <c r="K42" s="58">
        <v>0.5</v>
      </c>
      <c r="L42" s="58">
        <v>0.52500000000000002</v>
      </c>
      <c r="M42" s="58">
        <v>0.55000000000000004</v>
      </c>
      <c r="N42" s="58">
        <v>0.57499999999999996</v>
      </c>
      <c r="O42" s="58">
        <v>0.6</v>
      </c>
      <c r="P42" s="54">
        <v>0.625</v>
      </c>
      <c r="Q42" s="54">
        <v>0.65</v>
      </c>
      <c r="S42" s="58">
        <v>0.5</v>
      </c>
      <c r="T42" s="58">
        <v>0.52500000000000002</v>
      </c>
      <c r="U42" s="58">
        <v>0.55000000000000004</v>
      </c>
      <c r="V42" s="58">
        <v>0.57499999999999996</v>
      </c>
      <c r="W42" s="58">
        <v>0.6</v>
      </c>
      <c r="X42" s="54">
        <v>0.625</v>
      </c>
      <c r="Y42" s="54">
        <v>0.65</v>
      </c>
      <c r="AA42" s="58">
        <v>0.5</v>
      </c>
      <c r="AB42" s="58">
        <v>0.52500000000000002</v>
      </c>
      <c r="AC42" s="58">
        <v>0.55000000000000004</v>
      </c>
      <c r="AD42" s="58">
        <v>0.57499999999999996</v>
      </c>
      <c r="AE42" s="58">
        <v>0.6</v>
      </c>
      <c r="AF42" s="54">
        <v>0.625</v>
      </c>
      <c r="AG42" s="54">
        <v>0.65</v>
      </c>
      <c r="AI42" s="58">
        <v>0.5</v>
      </c>
      <c r="AJ42" s="58">
        <v>0.52500000000000002</v>
      </c>
      <c r="AK42" s="58">
        <v>0.55000000000000004</v>
      </c>
      <c r="AL42" s="58">
        <v>0.57499999999999996</v>
      </c>
      <c r="AM42" s="58">
        <v>0.6</v>
      </c>
      <c r="AN42" s="54">
        <v>0.625</v>
      </c>
      <c r="AO42" s="54">
        <v>0.65</v>
      </c>
      <c r="AQ42" s="58">
        <v>0.5</v>
      </c>
      <c r="AR42" s="58">
        <v>0.52500000000000002</v>
      </c>
      <c r="AS42" s="58">
        <v>0.55000000000000004</v>
      </c>
      <c r="AT42" s="58">
        <v>0.57499999999999996</v>
      </c>
      <c r="AU42" s="58">
        <v>0.6</v>
      </c>
      <c r="AV42" s="54">
        <v>0.625</v>
      </c>
      <c r="AW42" s="54">
        <v>0.65</v>
      </c>
      <c r="AY42" s="58">
        <v>0.5</v>
      </c>
      <c r="AZ42" s="58">
        <v>0.52500000000000002</v>
      </c>
      <c r="BA42" s="58">
        <v>0.55000000000000004</v>
      </c>
      <c r="BB42" s="58">
        <v>0.57499999999999996</v>
      </c>
      <c r="BC42" s="58">
        <v>0.6</v>
      </c>
      <c r="BD42" s="54">
        <v>0.625</v>
      </c>
      <c r="BE42" s="54">
        <v>0.65</v>
      </c>
    </row>
    <row r="43" spans="1:57" ht="13">
      <c r="B43" t="s">
        <v>22</v>
      </c>
      <c r="C43" s="58">
        <v>0.5</v>
      </c>
      <c r="D43" s="58">
        <v>0.47499999999999998</v>
      </c>
      <c r="E43" s="58">
        <v>0.45</v>
      </c>
      <c r="F43" s="58">
        <v>0.42499999999999999</v>
      </c>
      <c r="G43" s="58">
        <v>0.4</v>
      </c>
      <c r="H43" s="54">
        <v>0.375</v>
      </c>
      <c r="I43" s="54">
        <v>0.35</v>
      </c>
      <c r="K43" s="58">
        <v>0.5</v>
      </c>
      <c r="L43" s="58">
        <v>0.47499999999999998</v>
      </c>
      <c r="M43" s="58">
        <v>0.45</v>
      </c>
      <c r="N43" s="58">
        <v>0.42499999999999999</v>
      </c>
      <c r="O43" s="58">
        <v>0.4</v>
      </c>
      <c r="P43" s="54">
        <v>0.375</v>
      </c>
      <c r="Q43" s="54">
        <v>0.35</v>
      </c>
      <c r="S43" s="58">
        <v>0.5</v>
      </c>
      <c r="T43" s="58">
        <v>0.47499999999999998</v>
      </c>
      <c r="U43" s="58">
        <v>0.45</v>
      </c>
      <c r="V43" s="58">
        <v>0.42499999999999999</v>
      </c>
      <c r="W43" s="58">
        <v>0.4</v>
      </c>
      <c r="X43" s="54">
        <v>0.375</v>
      </c>
      <c r="Y43" s="54">
        <v>0.35</v>
      </c>
      <c r="AA43" s="58">
        <v>0.5</v>
      </c>
      <c r="AB43" s="58">
        <v>0.47499999999999998</v>
      </c>
      <c r="AC43" s="58">
        <v>0.45</v>
      </c>
      <c r="AD43" s="58">
        <v>0.42499999999999999</v>
      </c>
      <c r="AE43" s="58">
        <v>0.4</v>
      </c>
      <c r="AF43" s="54">
        <v>0.375</v>
      </c>
      <c r="AG43" s="54">
        <v>0.35</v>
      </c>
      <c r="AI43" s="58">
        <v>0.5</v>
      </c>
      <c r="AJ43" s="58">
        <v>0.47499999999999998</v>
      </c>
      <c r="AK43" s="58">
        <v>0.45</v>
      </c>
      <c r="AL43" s="58">
        <v>0.42499999999999999</v>
      </c>
      <c r="AM43" s="58">
        <v>0.4</v>
      </c>
      <c r="AN43" s="54">
        <v>0.375</v>
      </c>
      <c r="AO43" s="54">
        <v>0.35</v>
      </c>
      <c r="AQ43" s="58">
        <v>0.5</v>
      </c>
      <c r="AR43" s="58">
        <v>0.47499999999999998</v>
      </c>
      <c r="AS43" s="58">
        <v>0.45</v>
      </c>
      <c r="AT43" s="58">
        <v>0.42499999999999999</v>
      </c>
      <c r="AU43" s="58">
        <v>0.4</v>
      </c>
      <c r="AV43" s="54">
        <v>0.375</v>
      </c>
      <c r="AW43" s="54">
        <v>0.35</v>
      </c>
      <c r="AY43" s="58">
        <v>0.5</v>
      </c>
      <c r="AZ43" s="58">
        <v>0.47499999999999998</v>
      </c>
      <c r="BA43" s="58">
        <v>0.45</v>
      </c>
      <c r="BB43" s="58">
        <v>0.42499999999999999</v>
      </c>
      <c r="BC43" s="58">
        <v>0.4</v>
      </c>
      <c r="BD43" s="54">
        <v>0.375</v>
      </c>
      <c r="BE43" s="54">
        <v>0.35</v>
      </c>
    </row>
    <row r="44" spans="1:57" ht="13">
      <c r="B44" t="s">
        <v>46</v>
      </c>
      <c r="C44" s="56">
        <v>2.0524535567187541</v>
      </c>
      <c r="D44" s="56">
        <v>2.2678024157650332</v>
      </c>
      <c r="E44" s="56">
        <v>2.5091417551414241</v>
      </c>
      <c r="F44" s="56">
        <v>2.7814914447848431</v>
      </c>
      <c r="G44" s="56">
        <v>3.0911815435883021</v>
      </c>
      <c r="H44" s="54">
        <v>3.4463011564070181</v>
      </c>
      <c r="I44" s="54">
        <v>3.8573392017732382</v>
      </c>
      <c r="K44" s="55">
        <v>1.851934649519887</v>
      </c>
      <c r="L44" s="55">
        <v>2.0427287492653869</v>
      </c>
      <c r="M44" s="55">
        <v>2.2556282226122941</v>
      </c>
      <c r="N44" s="55">
        <v>2.4947552769423278</v>
      </c>
      <c r="O44" s="55">
        <v>2.76528167310002</v>
      </c>
      <c r="P44" s="54">
        <v>3.0737761928787002</v>
      </c>
      <c r="Q44" s="54">
        <v>3.4286983434011131</v>
      </c>
      <c r="S44" s="56">
        <v>1.687397881171018</v>
      </c>
      <c r="T44" s="56">
        <v>1.8585897924584269</v>
      </c>
      <c r="U44" s="56">
        <v>2.048988692101275</v>
      </c>
      <c r="V44" s="56">
        <v>2.2620356092134259</v>
      </c>
      <c r="W44" s="56">
        <v>2.5020394233822318</v>
      </c>
      <c r="X44" s="54">
        <v>2.774451118063133</v>
      </c>
      <c r="Y44" s="54">
        <v>3.0862440997634462</v>
      </c>
      <c r="AA44">
        <v>1.5532035658053851</v>
      </c>
      <c r="AB44">
        <v>1.708346716118186</v>
      </c>
      <c r="AC44">
        <v>1.880551193539135</v>
      </c>
      <c r="AD44">
        <v>2.072742557785948</v>
      </c>
      <c r="AE44">
        <v>2.2885787992839939</v>
      </c>
      <c r="AF44" s="54">
        <v>2.5326851395209808</v>
      </c>
      <c r="AG44" s="54">
        <v>2.8109689481617601</v>
      </c>
      <c r="AI44">
        <v>1.446152464131587</v>
      </c>
      <c r="AJ44">
        <v>1.5879729139642389</v>
      </c>
      <c r="AK44">
        <v>1.745270496933264</v>
      </c>
      <c r="AL44">
        <v>1.9206076516226089</v>
      </c>
      <c r="AM44">
        <v>2.1171853770357472</v>
      </c>
      <c r="AN44" s="54">
        <v>2.339051294239765</v>
      </c>
      <c r="AO44" s="54">
        <v>2.5913920219861102</v>
      </c>
      <c r="AQ44">
        <v>1.3639141693725649</v>
      </c>
      <c r="AR44">
        <v>1.4949152994744661</v>
      </c>
      <c r="AS44">
        <v>1.6402183843245639</v>
      </c>
      <c r="AT44">
        <v>1.802181755912512</v>
      </c>
      <c r="AU44">
        <v>1.9837444539262079</v>
      </c>
      <c r="AV44" s="54">
        <v>2.1886346141315132</v>
      </c>
      <c r="AW44" s="54">
        <v>2.4216495699982228</v>
      </c>
      <c r="AY44">
        <v>1.303631977937586</v>
      </c>
      <c r="AZ44">
        <v>1.4264224996803581</v>
      </c>
      <c r="BA44">
        <v>1.562658639352182</v>
      </c>
      <c r="BB44">
        <v>1.714640221041011</v>
      </c>
      <c r="BC44">
        <v>1.8852262248364211</v>
      </c>
      <c r="BD44" s="54">
        <v>2.0780477027736768</v>
      </c>
      <c r="BE44" s="54">
        <v>2.297775161754692</v>
      </c>
    </row>
    <row r="45" spans="1:57">
      <c r="H45" s="54"/>
      <c r="I45" s="54"/>
    </row>
    <row r="46" spans="1:57" ht="15.75" customHeight="1">
      <c r="B46" s="59" t="s">
        <v>68</v>
      </c>
    </row>
    <row r="47" spans="1:57">
      <c r="C47" s="54" t="s">
        <v>9</v>
      </c>
      <c r="D47" s="54" t="s">
        <v>9</v>
      </c>
      <c r="E47" s="54" t="s">
        <v>9</v>
      </c>
      <c r="F47" s="54" t="s">
        <v>9</v>
      </c>
      <c r="G47" s="54" t="s">
        <v>9</v>
      </c>
      <c r="H47" s="54"/>
      <c r="I47" s="54"/>
      <c r="K47" t="s">
        <v>61</v>
      </c>
      <c r="L47" s="54" t="s">
        <v>61</v>
      </c>
      <c r="M47" s="54" t="s">
        <v>61</v>
      </c>
      <c r="N47" s="54" t="s">
        <v>61</v>
      </c>
      <c r="O47" s="54" t="s">
        <v>61</v>
      </c>
      <c r="P47" s="54"/>
      <c r="Q47" s="54"/>
      <c r="S47" s="54" t="s">
        <v>10</v>
      </c>
      <c r="T47" t="s">
        <v>10</v>
      </c>
      <c r="U47" s="54" t="s">
        <v>10</v>
      </c>
      <c r="V47" s="54" t="s">
        <v>10</v>
      </c>
      <c r="W47" s="54" t="s">
        <v>10</v>
      </c>
      <c r="X47" s="54"/>
      <c r="Y47" s="54"/>
      <c r="AA47" s="54" t="s">
        <v>62</v>
      </c>
      <c r="AB47" s="54" t="s">
        <v>62</v>
      </c>
      <c r="AC47" t="s">
        <v>62</v>
      </c>
      <c r="AD47" s="54" t="s">
        <v>62</v>
      </c>
      <c r="AE47" s="54" t="s">
        <v>62</v>
      </c>
      <c r="AF47" s="54"/>
      <c r="AG47" s="54"/>
      <c r="AI47" s="54" t="s">
        <v>11</v>
      </c>
      <c r="AJ47" s="54" t="s">
        <v>11</v>
      </c>
      <c r="AK47" s="54" t="s">
        <v>11</v>
      </c>
      <c r="AL47" t="s">
        <v>11</v>
      </c>
      <c r="AM47" s="54" t="s">
        <v>11</v>
      </c>
      <c r="AQ47" s="54" t="s">
        <v>63</v>
      </c>
      <c r="AR47" s="54" t="s">
        <v>63</v>
      </c>
      <c r="AS47" s="54" t="s">
        <v>63</v>
      </c>
      <c r="AT47" t="s">
        <v>63</v>
      </c>
      <c r="AU47" t="s">
        <v>63</v>
      </c>
      <c r="AY47" s="54" t="s">
        <v>12</v>
      </c>
      <c r="AZ47" s="54" t="s">
        <v>12</v>
      </c>
      <c r="BA47" s="54" t="s">
        <v>12</v>
      </c>
      <c r="BB47" s="54" t="s">
        <v>12</v>
      </c>
      <c r="BC47" t="s">
        <v>12</v>
      </c>
    </row>
    <row r="48" spans="1:57">
      <c r="C48" s="54"/>
      <c r="D48" s="54"/>
      <c r="E48" s="54"/>
      <c r="F48" s="54"/>
      <c r="G48" s="54"/>
      <c r="H48" s="54"/>
      <c r="I48" s="54"/>
      <c r="L48" s="54"/>
      <c r="M48" s="54"/>
      <c r="N48" s="54"/>
      <c r="O48" s="54"/>
      <c r="P48" s="54"/>
      <c r="Q48" s="54"/>
      <c r="S48" s="54"/>
      <c r="U48" s="54"/>
      <c r="V48" s="54"/>
      <c r="W48" s="54"/>
      <c r="X48" s="54"/>
      <c r="Y48" s="54"/>
      <c r="AA48" s="54"/>
      <c r="AB48" s="54"/>
      <c r="AD48" s="54"/>
      <c r="AE48" s="54"/>
      <c r="AF48" s="54"/>
      <c r="AG48" s="54"/>
      <c r="AI48" s="54"/>
      <c r="AJ48" s="54"/>
      <c r="AK48" s="54"/>
      <c r="AM48" s="54"/>
      <c r="AQ48" s="54"/>
      <c r="AR48" s="54"/>
      <c r="AS48" s="54"/>
      <c r="AY48" s="54"/>
      <c r="AZ48" s="54"/>
      <c r="BA48" s="54"/>
      <c r="BB48" s="54"/>
    </row>
    <row r="49" spans="3:55">
      <c r="C49" s="54">
        <v>0.5</v>
      </c>
      <c r="D49" s="54">
        <v>0.52500000000000002</v>
      </c>
      <c r="E49" s="54">
        <v>0.55000000000000004</v>
      </c>
      <c r="F49" s="54">
        <v>0.57499999999999996</v>
      </c>
      <c r="G49" s="54">
        <v>0.6</v>
      </c>
      <c r="H49" s="54"/>
      <c r="I49" s="54"/>
      <c r="K49">
        <v>0.5</v>
      </c>
      <c r="L49" s="54">
        <v>0.52500000000000002</v>
      </c>
      <c r="M49" s="54">
        <v>0.55000000000000004</v>
      </c>
      <c r="N49" s="54">
        <v>0.57499999999999996</v>
      </c>
      <c r="O49" s="54">
        <v>0.6</v>
      </c>
      <c r="P49" s="54"/>
      <c r="Q49" s="54"/>
      <c r="S49" s="54">
        <v>0.5</v>
      </c>
      <c r="T49">
        <v>0.52500000000000002</v>
      </c>
      <c r="U49" s="54">
        <v>0.55000000000000004</v>
      </c>
      <c r="V49" s="54">
        <v>0.57499999999999996</v>
      </c>
      <c r="W49" s="54">
        <v>0.6</v>
      </c>
      <c r="X49" s="54"/>
      <c r="Y49" s="54"/>
      <c r="AA49" s="54">
        <v>0.5</v>
      </c>
      <c r="AB49" s="54">
        <v>0.52500000000000002</v>
      </c>
      <c r="AC49">
        <v>0.55000000000000004</v>
      </c>
      <c r="AD49" s="54">
        <v>0.57499999999999996</v>
      </c>
      <c r="AE49" s="54">
        <v>0.6</v>
      </c>
      <c r="AF49" s="54"/>
      <c r="AG49" s="54"/>
      <c r="AI49" s="54">
        <v>0.5</v>
      </c>
      <c r="AJ49" s="54">
        <v>0.52500000000000002</v>
      </c>
      <c r="AK49" s="54">
        <v>0.55000000000000004</v>
      </c>
      <c r="AL49">
        <v>0.57499999999999996</v>
      </c>
      <c r="AM49" s="54">
        <v>0.6</v>
      </c>
      <c r="AQ49" s="54">
        <v>0.5</v>
      </c>
      <c r="AR49" s="54">
        <v>0.52500000000000002</v>
      </c>
      <c r="AS49" s="54">
        <v>0.55000000000000004</v>
      </c>
      <c r="AT49">
        <v>0.57499999999999996</v>
      </c>
      <c r="AU49">
        <v>0.6</v>
      </c>
      <c r="AY49" s="54">
        <v>0.5</v>
      </c>
      <c r="AZ49" s="54">
        <v>0.52500000000000002</v>
      </c>
      <c r="BA49" s="54">
        <v>0.55000000000000004</v>
      </c>
      <c r="BB49" s="54">
        <v>0.57499999999999996</v>
      </c>
      <c r="BC49">
        <v>0.6</v>
      </c>
    </row>
    <row r="50" spans="3:55">
      <c r="C50" s="54">
        <v>0.5</v>
      </c>
      <c r="D50" s="54">
        <v>0.47499999999999998</v>
      </c>
      <c r="E50" s="54">
        <v>0.45</v>
      </c>
      <c r="F50" s="54">
        <v>0.42499999999999999</v>
      </c>
      <c r="G50" s="54">
        <v>0.4</v>
      </c>
      <c r="H50" s="54"/>
      <c r="I50" s="54"/>
      <c r="K50">
        <v>0.5</v>
      </c>
      <c r="L50" s="54">
        <v>0.47499999999999998</v>
      </c>
      <c r="M50" s="54">
        <v>0.45</v>
      </c>
      <c r="N50" s="54">
        <v>0.42499999999999999</v>
      </c>
      <c r="O50" s="54">
        <v>0.4</v>
      </c>
      <c r="P50" s="54"/>
      <c r="Q50" s="54"/>
      <c r="S50" s="54">
        <v>0.5</v>
      </c>
      <c r="T50">
        <v>0.47499999999999998</v>
      </c>
      <c r="U50" s="54">
        <v>0.45</v>
      </c>
      <c r="V50" s="54">
        <v>0.42499999999999999</v>
      </c>
      <c r="W50" s="54">
        <v>0.4</v>
      </c>
      <c r="X50" s="54"/>
      <c r="Y50" s="54"/>
      <c r="AA50" s="54">
        <v>0.5</v>
      </c>
      <c r="AB50" s="54">
        <v>0.47499999999999998</v>
      </c>
      <c r="AC50">
        <v>0.45</v>
      </c>
      <c r="AD50" s="54">
        <v>0.42499999999999999</v>
      </c>
      <c r="AE50" s="54">
        <v>0.4</v>
      </c>
      <c r="AF50" s="54"/>
      <c r="AG50" s="54"/>
      <c r="AI50" s="54">
        <v>0.5</v>
      </c>
      <c r="AJ50" s="54">
        <v>0.47499999999999998</v>
      </c>
      <c r="AK50" s="54">
        <v>0.45</v>
      </c>
      <c r="AL50">
        <v>0.42499999999999999</v>
      </c>
      <c r="AM50" s="54">
        <v>0.4</v>
      </c>
      <c r="AQ50" s="54">
        <v>0.5</v>
      </c>
      <c r="AR50" s="54">
        <v>0.47499999999999998</v>
      </c>
      <c r="AS50" s="54">
        <v>0.45</v>
      </c>
      <c r="AT50">
        <v>0.42499999999999999</v>
      </c>
      <c r="AU50">
        <v>0.4</v>
      </c>
      <c r="AY50" s="54">
        <v>0.5</v>
      </c>
      <c r="AZ50" s="54">
        <v>0.47499999999999998</v>
      </c>
      <c r="BA50" s="54">
        <v>0.45</v>
      </c>
      <c r="BB50" s="54">
        <v>0.42499999999999999</v>
      </c>
      <c r="BC50">
        <v>0.4</v>
      </c>
    </row>
    <row r="51" spans="3:55" ht="13">
      <c r="C51" s="54">
        <v>2.0524535567187541</v>
      </c>
      <c r="D51" s="54">
        <v>2.2678024157650332</v>
      </c>
      <c r="E51" s="54">
        <v>2.5091417551414241</v>
      </c>
      <c r="F51" s="54">
        <v>2.7814914447848431</v>
      </c>
      <c r="G51" s="54">
        <v>3.0911815435883021</v>
      </c>
      <c r="H51" s="54"/>
      <c r="I51" s="54"/>
      <c r="K51" s="60">
        <v>1.851934649519887</v>
      </c>
      <c r="L51" s="54">
        <v>2.0427287492653869</v>
      </c>
      <c r="M51" s="54">
        <v>2.2556282226122941</v>
      </c>
      <c r="N51" s="54">
        <v>2.4947552769423278</v>
      </c>
      <c r="O51" s="54">
        <v>2.76528167310002</v>
      </c>
      <c r="P51" s="54"/>
      <c r="Q51" s="54"/>
      <c r="S51" s="54">
        <v>1.687397881171018</v>
      </c>
      <c r="T51" s="60">
        <v>1.8585897924584269</v>
      </c>
      <c r="U51" s="54">
        <v>2.048988692101275</v>
      </c>
      <c r="V51" s="54">
        <v>2.2620356092134259</v>
      </c>
      <c r="W51" s="54">
        <v>2.5020394233822318</v>
      </c>
      <c r="X51" s="54"/>
      <c r="Y51" s="54"/>
      <c r="AA51" s="54">
        <v>1.5532035658053851</v>
      </c>
      <c r="AB51" s="54">
        <v>1.708346716118186</v>
      </c>
      <c r="AC51" s="60">
        <v>1.880551193539135</v>
      </c>
      <c r="AD51" s="54">
        <v>2.072742557785948</v>
      </c>
      <c r="AE51" s="54">
        <v>2.2885787992839939</v>
      </c>
      <c r="AF51" s="54"/>
      <c r="AG51" s="54"/>
      <c r="AI51" s="54">
        <v>1.446152464131587</v>
      </c>
      <c r="AJ51" s="54">
        <v>1.5879729139642389</v>
      </c>
      <c r="AK51" s="54">
        <v>1.745270496933264</v>
      </c>
      <c r="AL51" s="60">
        <v>1.9206076516226089</v>
      </c>
      <c r="AM51" s="54">
        <v>2.1171853770357472</v>
      </c>
      <c r="AQ51" s="54">
        <v>1.3639141693725649</v>
      </c>
      <c r="AR51" s="54">
        <v>1.4949152994744661</v>
      </c>
      <c r="AS51" s="54">
        <v>1.6402183843245639</v>
      </c>
      <c r="AT51" s="60">
        <v>1.802181755912512</v>
      </c>
      <c r="AU51" s="60">
        <v>1.9837444539262079</v>
      </c>
      <c r="AY51" s="54">
        <v>1.303631977937586</v>
      </c>
      <c r="AZ51" s="54">
        <v>1.4264224996803581</v>
      </c>
      <c r="BA51" s="54">
        <v>1.562658639352182</v>
      </c>
      <c r="BB51" s="54">
        <v>1.714640221041011</v>
      </c>
      <c r="BC51" s="60">
        <v>1.8852262248364211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U32"/>
  <sheetViews>
    <sheetView zoomScaleNormal="100" workbookViewId="0">
      <selection activeCell="C31" sqref="C31"/>
    </sheetView>
  </sheetViews>
  <sheetFormatPr defaultColWidth="9.1796875" defaultRowHeight="12.5"/>
  <cols>
    <col min="1" max="1" width="9.1796875" style="85" customWidth="1"/>
    <col min="2" max="2" width="31.453125" style="85" customWidth="1"/>
    <col min="3" max="8" width="16" style="85" customWidth="1"/>
    <col min="9" max="13" width="9.1796875" style="85" customWidth="1"/>
    <col min="14" max="14" width="8.453125" style="85" customWidth="1"/>
    <col min="15" max="15" width="23.54296875" style="85" customWidth="1"/>
    <col min="16" max="21" width="10.7265625" style="85" customWidth="1"/>
    <col min="22" max="23" width="9.1796875" style="85" customWidth="1"/>
    <col min="24" max="16384" width="9.1796875" style="85"/>
  </cols>
  <sheetData>
    <row r="2" spans="1:21" ht="13">
      <c r="A2" s="5"/>
      <c r="B2" s="48" t="s">
        <v>47</v>
      </c>
      <c r="C2" s="35" t="s">
        <v>9</v>
      </c>
      <c r="D2" s="35" t="s">
        <v>61</v>
      </c>
      <c r="E2" s="35" t="s">
        <v>10</v>
      </c>
      <c r="F2" s="35" t="s">
        <v>62</v>
      </c>
      <c r="G2" s="35" t="s">
        <v>63</v>
      </c>
      <c r="H2" s="35" t="s">
        <v>12</v>
      </c>
    </row>
    <row r="3" spans="1:21" ht="15.75" customHeight="1">
      <c r="A3" s="6" t="s">
        <v>38</v>
      </c>
      <c r="B3" s="48" t="s">
        <v>49</v>
      </c>
      <c r="C3">
        <v>101325</v>
      </c>
      <c r="D3">
        <v>101325</v>
      </c>
      <c r="E3">
        <v>101325</v>
      </c>
      <c r="F3">
        <v>101325</v>
      </c>
      <c r="G3">
        <v>101325</v>
      </c>
      <c r="H3">
        <v>101325</v>
      </c>
      <c r="P3" s="50" t="s">
        <v>69</v>
      </c>
      <c r="Q3" s="50" t="s">
        <v>70</v>
      </c>
      <c r="R3" s="50" t="s">
        <v>71</v>
      </c>
      <c r="S3" s="50" t="s">
        <v>72</v>
      </c>
      <c r="T3" s="50" t="s">
        <v>73</v>
      </c>
      <c r="U3" s="50" t="s">
        <v>65</v>
      </c>
    </row>
    <row r="4" spans="1:21">
      <c r="A4" s="6" t="s">
        <v>50</v>
      </c>
      <c r="B4" s="48" t="s">
        <v>51</v>
      </c>
      <c r="C4">
        <v>0.01</v>
      </c>
      <c r="D4">
        <v>0.01</v>
      </c>
      <c r="E4">
        <v>0.01</v>
      </c>
      <c r="F4">
        <v>0.01</v>
      </c>
      <c r="G4">
        <v>0.01</v>
      </c>
      <c r="H4">
        <v>0.01</v>
      </c>
      <c r="O4" s="48" t="s">
        <v>47</v>
      </c>
      <c r="P4" s="49" t="s">
        <v>9</v>
      </c>
      <c r="Q4" s="49" t="s">
        <v>61</v>
      </c>
      <c r="R4" s="49" t="s">
        <v>10</v>
      </c>
      <c r="S4" s="49" t="s">
        <v>62</v>
      </c>
      <c r="T4" s="49" t="s">
        <v>63</v>
      </c>
      <c r="U4" s="49" t="s">
        <v>12</v>
      </c>
    </row>
    <row r="5" spans="1:21">
      <c r="A5" s="6" t="s">
        <v>50</v>
      </c>
      <c r="O5" s="48" t="s">
        <v>49</v>
      </c>
      <c r="P5">
        <v>101325</v>
      </c>
      <c r="Q5">
        <v>101325</v>
      </c>
      <c r="R5">
        <v>101325</v>
      </c>
      <c r="S5">
        <v>101325</v>
      </c>
      <c r="T5">
        <v>101325</v>
      </c>
      <c r="U5">
        <v>101325</v>
      </c>
    </row>
    <row r="6" spans="1:21" ht="13">
      <c r="A6" s="6" t="s">
        <v>32</v>
      </c>
      <c r="B6" s="13" t="s">
        <v>52</v>
      </c>
      <c r="O6" s="48" t="s">
        <v>51</v>
      </c>
      <c r="P6">
        <v>0.01</v>
      </c>
      <c r="Q6">
        <v>0.01</v>
      </c>
      <c r="R6">
        <v>0.01</v>
      </c>
      <c r="S6">
        <v>0.01</v>
      </c>
      <c r="T6">
        <v>0.01</v>
      </c>
      <c r="U6">
        <v>0.01</v>
      </c>
    </row>
    <row r="7" spans="1:21" ht="15.75" customHeight="1">
      <c r="A7" s="6"/>
      <c r="B7" s="48" t="s">
        <v>20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O7" s="48" t="s">
        <v>21</v>
      </c>
      <c r="P7">
        <v>0.5</v>
      </c>
      <c r="Q7">
        <v>0.5</v>
      </c>
      <c r="R7">
        <v>0.52500000000000002</v>
      </c>
      <c r="S7">
        <v>0.55000000000000004</v>
      </c>
      <c r="T7">
        <v>0.57499999999999996</v>
      </c>
      <c r="U7">
        <v>0.6</v>
      </c>
    </row>
    <row r="8" spans="1:21" ht="15.75" customHeight="1">
      <c r="A8" s="14" t="s">
        <v>53</v>
      </c>
      <c r="B8" s="48" t="s">
        <v>21</v>
      </c>
      <c r="C8">
        <v>0.5</v>
      </c>
      <c r="D8">
        <v>0.5</v>
      </c>
      <c r="E8">
        <v>0.52500000000000002</v>
      </c>
      <c r="F8">
        <v>0.55000000000000004</v>
      </c>
      <c r="G8">
        <v>0.57499999999999996</v>
      </c>
      <c r="H8">
        <v>0.6</v>
      </c>
      <c r="O8" s="48" t="s">
        <v>22</v>
      </c>
      <c r="P8">
        <v>0.5</v>
      </c>
      <c r="Q8">
        <v>0.5</v>
      </c>
      <c r="R8">
        <v>0.47499999999999998</v>
      </c>
      <c r="S8">
        <v>0.45</v>
      </c>
      <c r="T8">
        <v>0.42499999999999999</v>
      </c>
      <c r="U8">
        <v>0.4</v>
      </c>
    </row>
    <row r="9" spans="1:21" ht="15.75" customHeight="1">
      <c r="A9" s="7"/>
      <c r="B9" s="48" t="s">
        <v>22</v>
      </c>
      <c r="C9">
        <v>0.5</v>
      </c>
      <c r="D9">
        <v>0.5</v>
      </c>
      <c r="E9">
        <v>0.47499999999999998</v>
      </c>
      <c r="F9">
        <v>0.45</v>
      </c>
      <c r="G9">
        <v>0.42499999999999999</v>
      </c>
      <c r="H9">
        <v>0.4</v>
      </c>
    </row>
    <row r="10" spans="1:21" ht="15.75" customHeight="1">
      <c r="C10" s="49"/>
      <c r="D10" s="49"/>
      <c r="E10" s="49"/>
      <c r="F10" s="49"/>
      <c r="G10" s="49"/>
      <c r="H10" s="49"/>
      <c r="O10" s="48" t="s">
        <v>34</v>
      </c>
      <c r="P10" s="94">
        <v>7.2793537000000004E-3</v>
      </c>
      <c r="Q10" s="94">
        <v>7.5401610000000001E-3</v>
      </c>
      <c r="R10" s="94">
        <v>8.2851963000000004E-3</v>
      </c>
      <c r="S10" s="94">
        <v>9.0487234E-3</v>
      </c>
      <c r="T10" s="94">
        <v>1.0040151000000001E-2</v>
      </c>
      <c r="U10" s="94">
        <v>1.0786431000000001E-2</v>
      </c>
    </row>
    <row r="11" spans="1:21" ht="13">
      <c r="A11" s="15"/>
      <c r="B11" s="13" t="s">
        <v>54</v>
      </c>
      <c r="C11" s="78"/>
      <c r="D11" s="78"/>
      <c r="E11" s="78"/>
      <c r="F11" s="78"/>
      <c r="G11" s="78"/>
      <c r="H11" s="78"/>
      <c r="O11" s="48" t="s">
        <v>29</v>
      </c>
      <c r="P11" s="94">
        <v>3.5466593999999999E-3</v>
      </c>
      <c r="Q11" s="94">
        <v>4.0715049E-3</v>
      </c>
      <c r="R11" s="94">
        <v>4.4577864000000002E-3</v>
      </c>
      <c r="S11" s="94">
        <v>4.8117400000000001E-3</v>
      </c>
      <c r="T11" s="94">
        <v>5.5711090000000003E-3</v>
      </c>
      <c r="U11" s="94">
        <v>5.7215579000000003E-3</v>
      </c>
    </row>
    <row r="12" spans="1:21" ht="16.5" customHeight="1">
      <c r="A12" s="6" t="s">
        <v>26</v>
      </c>
      <c r="B12" s="48" t="s">
        <v>25</v>
      </c>
      <c r="C12" s="95">
        <v>1.1262527000000001E-4</v>
      </c>
      <c r="D12" s="95">
        <v>7.6447342999999993E-5</v>
      </c>
      <c r="E12" s="95">
        <v>5.8984392000000002E-5</v>
      </c>
      <c r="F12" s="95">
        <v>4.6192880000000001E-5</v>
      </c>
      <c r="G12" s="95">
        <v>2.5946946999999999E-5</v>
      </c>
      <c r="H12" s="95">
        <v>2.0931971999999999E-5</v>
      </c>
      <c r="O12" s="51" t="s">
        <v>74</v>
      </c>
      <c r="P12" s="96">
        <v>2.0524535567187541</v>
      </c>
      <c r="Q12" s="96">
        <v>1.851934649519887</v>
      </c>
      <c r="R12" s="96">
        <v>1.8585897924584269</v>
      </c>
      <c r="S12" s="96">
        <v>1.880551193539135</v>
      </c>
      <c r="T12" s="96">
        <v>1.802181755912512</v>
      </c>
      <c r="U12" s="96">
        <v>1.8852262248364211</v>
      </c>
    </row>
    <row r="13" spans="1:21" ht="15.75" customHeight="1">
      <c r="A13" s="6" t="s">
        <v>28</v>
      </c>
      <c r="B13" s="48" t="s">
        <v>27</v>
      </c>
      <c r="C13" s="95">
        <v>1.9789724E-3</v>
      </c>
      <c r="D13" s="95">
        <v>1.8107754000000001E-3</v>
      </c>
      <c r="E13" s="95">
        <v>1.4726894E-3</v>
      </c>
      <c r="F13" s="95">
        <v>1.1646846E-3</v>
      </c>
      <c r="G13" s="95">
        <v>7.6046806999999998E-4</v>
      </c>
      <c r="H13" s="95">
        <v>5.5336836999999998E-4</v>
      </c>
    </row>
    <row r="14" spans="1:21">
      <c r="A14" s="37" t="s">
        <v>30</v>
      </c>
      <c r="B14" s="36" t="s">
        <v>29</v>
      </c>
      <c r="C14" s="95">
        <v>3.5466593999999999E-3</v>
      </c>
      <c r="D14" s="95">
        <v>4.0715049E-3</v>
      </c>
      <c r="E14" s="95">
        <v>4.4577864000000002E-3</v>
      </c>
      <c r="F14" s="95">
        <v>4.8117400000000001E-3</v>
      </c>
      <c r="G14" s="95">
        <v>5.5711090000000003E-3</v>
      </c>
      <c r="H14" s="95">
        <v>5.7215579000000003E-3</v>
      </c>
    </row>
    <row r="15" spans="1:21" ht="15.75" customHeight="1">
      <c r="A15" s="6" t="s">
        <v>32</v>
      </c>
      <c r="B15" s="48" t="s">
        <v>31</v>
      </c>
      <c r="C15" s="95">
        <v>2.4953959E-3</v>
      </c>
      <c r="D15" s="95">
        <v>2.3069445000000002E-3</v>
      </c>
      <c r="E15" s="95">
        <v>2.0968351000000001E-3</v>
      </c>
      <c r="F15" s="95">
        <v>1.8588910999999999E-3</v>
      </c>
      <c r="G15" s="95">
        <v>1.4079551E-3</v>
      </c>
      <c r="H15" s="95">
        <v>1.1717056000000001E-3</v>
      </c>
    </row>
    <row r="16" spans="1:21">
      <c r="A16" s="10"/>
      <c r="B16" s="48" t="s">
        <v>33</v>
      </c>
      <c r="C16" s="95">
        <v>4.3617431E-3</v>
      </c>
      <c r="D16" s="95">
        <v>4.0412725999999996E-3</v>
      </c>
      <c r="E16" s="95">
        <v>4.0105401000000004E-3</v>
      </c>
      <c r="F16" s="95">
        <v>3.9773828000000001E-3</v>
      </c>
      <c r="G16" s="95">
        <v>3.6424762E-3</v>
      </c>
      <c r="H16" s="95">
        <v>3.7041420000000001E-3</v>
      </c>
    </row>
    <row r="17" spans="1:8" ht="15.75" customHeight="1">
      <c r="A17" s="37"/>
      <c r="B17" s="36" t="s">
        <v>34</v>
      </c>
      <c r="C17" s="95">
        <v>7.2793537000000004E-3</v>
      </c>
      <c r="D17" s="95">
        <v>7.5401610000000001E-3</v>
      </c>
      <c r="E17" s="95">
        <v>8.2851963000000004E-3</v>
      </c>
      <c r="F17" s="95">
        <v>9.0487234E-3</v>
      </c>
      <c r="G17" s="95">
        <v>1.0040151000000001E-2</v>
      </c>
      <c r="H17" s="95">
        <v>1.0786431000000001E-2</v>
      </c>
    </row>
    <row r="18" spans="1:8" ht="16.5" customHeight="1">
      <c r="A18" s="16" t="s">
        <v>55</v>
      </c>
      <c r="B18" s="17" t="s">
        <v>56</v>
      </c>
      <c r="C18" s="97">
        <f t="shared" ref="C18:H18" si="0">SUM(C12:C17)</f>
        <v>1.9774749769999999E-2</v>
      </c>
      <c r="D18" s="97">
        <f t="shared" si="0"/>
        <v>1.9847105742999999E-2</v>
      </c>
      <c r="E18" s="97">
        <f t="shared" si="0"/>
        <v>2.0382031692000001E-2</v>
      </c>
      <c r="F18" s="97">
        <f t="shared" si="0"/>
        <v>2.090761478E-2</v>
      </c>
      <c r="G18" s="97">
        <f t="shared" si="0"/>
        <v>2.1448106317000001E-2</v>
      </c>
      <c r="H18" s="97">
        <f t="shared" si="0"/>
        <v>2.1958136842000001E-2</v>
      </c>
    </row>
    <row r="19" spans="1:8">
      <c r="C19" s="98"/>
      <c r="D19" s="98"/>
      <c r="E19" s="98"/>
      <c r="F19" s="98"/>
      <c r="G19" s="98"/>
      <c r="H19" s="98"/>
    </row>
    <row r="20" spans="1:8">
      <c r="A20" s="5" t="s">
        <v>26</v>
      </c>
      <c r="B20" t="s">
        <v>57</v>
      </c>
      <c r="C20" s="95">
        <v>2.3560500000000001E-6</v>
      </c>
      <c r="D20" s="95">
        <v>2.40789E-6</v>
      </c>
      <c r="E20" s="95">
        <v>2.5570400000000001E-6</v>
      </c>
      <c r="F20" s="95">
        <v>2.6995900000000001E-6</v>
      </c>
      <c r="G20" s="95">
        <v>2.8507699999999999E-6</v>
      </c>
      <c r="H20" s="95">
        <v>2.9830399999999999E-6</v>
      </c>
    </row>
    <row r="21" spans="1:8" ht="13">
      <c r="A21" s="6"/>
      <c r="B21" s="47" t="s">
        <v>36</v>
      </c>
      <c r="C21" s="99"/>
      <c r="D21" s="99"/>
      <c r="E21" s="99"/>
      <c r="F21" s="99"/>
      <c r="G21" s="99"/>
      <c r="H21" s="99"/>
    </row>
    <row r="22" spans="1:8">
      <c r="A22" s="6" t="s">
        <v>28</v>
      </c>
      <c r="C22" s="99"/>
      <c r="D22" s="99"/>
      <c r="E22" s="99"/>
      <c r="F22" s="99"/>
      <c r="G22" s="99"/>
      <c r="H22" s="99"/>
    </row>
    <row r="23" spans="1:8">
      <c r="A23" s="6"/>
      <c r="B23" t="s">
        <v>58</v>
      </c>
      <c r="C23" s="95">
        <v>3.0210299999999999E-6</v>
      </c>
      <c r="D23" s="95">
        <v>3.18922E-6</v>
      </c>
      <c r="E23" s="95">
        <v>3.2773099999999998E-6</v>
      </c>
      <c r="F23" s="95">
        <v>3.3353200000000002E-6</v>
      </c>
      <c r="G23" s="95">
        <v>3.4895300000000002E-6</v>
      </c>
      <c r="H23" s="95">
        <v>3.4466300000000002E-6</v>
      </c>
    </row>
    <row r="24" spans="1:8" ht="13">
      <c r="A24" s="6" t="s">
        <v>38</v>
      </c>
      <c r="B24" s="47" t="s">
        <v>39</v>
      </c>
      <c r="C24" s="99"/>
      <c r="D24" s="99"/>
      <c r="E24" s="99"/>
      <c r="F24" s="99"/>
      <c r="G24" s="99"/>
      <c r="H24" s="99"/>
    </row>
    <row r="25" spans="1:8" ht="13">
      <c r="A25" s="6"/>
      <c r="C25" s="99"/>
      <c r="D25" s="99"/>
      <c r="E25" s="99"/>
      <c r="F25" s="99"/>
      <c r="G25" s="100"/>
      <c r="H25" s="100"/>
    </row>
    <row r="26" spans="1:8">
      <c r="A26" s="6"/>
      <c r="B26" t="s">
        <v>59</v>
      </c>
      <c r="C26" s="95">
        <v>2.5313199999999999E-6</v>
      </c>
      <c r="D26" s="95">
        <v>2.5156600000000001E-6</v>
      </c>
      <c r="E26" s="95">
        <v>2.6339700000000001E-6</v>
      </c>
      <c r="F26" s="95">
        <v>2.7542199999999999E-6</v>
      </c>
      <c r="G26" s="95">
        <v>2.87328E-6</v>
      </c>
      <c r="H26" s="95">
        <v>2.9960300000000002E-6</v>
      </c>
    </row>
    <row r="27" spans="1:8" ht="13">
      <c r="A27" s="6" t="s">
        <v>41</v>
      </c>
      <c r="B27" s="47" t="s">
        <v>42</v>
      </c>
    </row>
    <row r="28" spans="1:8">
      <c r="A28" s="10"/>
    </row>
    <row r="29" spans="1:8" ht="15.75" customHeight="1">
      <c r="A29" s="6">
        <v>1</v>
      </c>
      <c r="B29" s="48" t="s">
        <v>43</v>
      </c>
      <c r="C29" s="45">
        <v>97.747500000000002</v>
      </c>
      <c r="D29" s="45">
        <v>98.471100000000007</v>
      </c>
      <c r="E29" s="45">
        <v>98.876499999999993</v>
      </c>
      <c r="F29" s="45">
        <v>99.1601</v>
      </c>
      <c r="G29" s="45">
        <v>99.548699999999997</v>
      </c>
      <c r="H29" s="45">
        <v>99.6511</v>
      </c>
    </row>
    <row r="30" spans="1:8" ht="15.75" customHeight="1">
      <c r="A30" s="11"/>
      <c r="B30" s="48" t="s">
        <v>44</v>
      </c>
      <c r="C30" s="45">
        <v>60.4206</v>
      </c>
      <c r="D30" s="45">
        <v>63.784500000000001</v>
      </c>
      <c r="E30" s="45">
        <v>68.995999999999995</v>
      </c>
      <c r="F30" s="45">
        <v>74.118099999999998</v>
      </c>
      <c r="G30" s="45">
        <v>82.1066</v>
      </c>
      <c r="H30" s="45">
        <v>86.165800000000004</v>
      </c>
    </row>
    <row r="31" spans="1:8">
      <c r="B31" s="48" t="s">
        <v>45</v>
      </c>
      <c r="C31" s="92">
        <f t="shared" ref="C31:H31" si="1">C26/(C20+C26)</f>
        <v>0.51793091171734496</v>
      </c>
      <c r="D31" s="92">
        <f t="shared" si="1"/>
        <v>0.51094433894242985</v>
      </c>
      <c r="E31" s="92">
        <f t="shared" si="1"/>
        <v>0.50740992600669232</v>
      </c>
      <c r="F31" s="92">
        <f t="shared" si="1"/>
        <v>0.50500842530267831</v>
      </c>
      <c r="G31" s="92">
        <f t="shared" si="1"/>
        <v>0.50196626514443443</v>
      </c>
      <c r="H31" s="92">
        <f t="shared" si="1"/>
        <v>0.50108628933931199</v>
      </c>
    </row>
    <row r="32" spans="1:8" ht="15.75" customHeight="1">
      <c r="A32" s="31"/>
      <c r="B32" s="36" t="s">
        <v>46</v>
      </c>
      <c r="C32" s="92">
        <f t="shared" ref="C32:H32" si="2">C17/C14</f>
        <v>2.0524535567187536</v>
      </c>
      <c r="D32" s="92">
        <f t="shared" si="2"/>
        <v>1.8519346495198865</v>
      </c>
      <c r="E32" s="92">
        <f t="shared" si="2"/>
        <v>1.8585897924584274</v>
      </c>
      <c r="F32" s="92">
        <f t="shared" si="2"/>
        <v>1.8805511935391355</v>
      </c>
      <c r="G32" s="92">
        <f t="shared" si="2"/>
        <v>1.8021817559125122</v>
      </c>
      <c r="H32" s="92">
        <f t="shared" si="2"/>
        <v>1.8852262248364209</v>
      </c>
    </row>
  </sheetData>
  <pageMargins left="0.511811024" right="0.511811024" top="0.78740157499999996" bottom="0.78740157499999996" header="0.31496062000000002" footer="0.31496062000000002"/>
  <pageSetup paperSize="9" orientation="landscape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V29"/>
  <sheetViews>
    <sheetView workbookViewId="0">
      <pane ySplit="19" topLeftCell="A20" activePane="bottomLeft" state="frozen"/>
      <selection pane="bottomLeft" sqref="A1:L1"/>
    </sheetView>
  </sheetViews>
  <sheetFormatPr defaultRowHeight="12.5"/>
  <cols>
    <col min="1" max="1" width="8" style="85" customWidth="1"/>
    <col min="2" max="2" width="58" style="85" customWidth="1"/>
    <col min="3" max="3" width="14" style="85" customWidth="1"/>
    <col min="4" max="4" width="10" style="85" customWidth="1"/>
    <col min="5" max="5" width="14" style="85" customWidth="1"/>
    <col min="6" max="6" width="16" style="85" customWidth="1"/>
    <col min="7" max="8" width="10" style="85" customWidth="1"/>
    <col min="9" max="9" width="12" style="85" customWidth="1"/>
    <col min="10" max="10" width="10" style="85" customWidth="1"/>
    <col min="11" max="17" width="14" style="85" customWidth="1"/>
    <col min="18" max="18" width="12" style="85" customWidth="1"/>
    <col min="19" max="21" width="14" style="85" customWidth="1"/>
    <col min="22" max="22" width="16" style="85" customWidth="1"/>
  </cols>
  <sheetData>
    <row r="1" spans="1:12" ht="13">
      <c r="A1" s="108" t="s">
        <v>111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</row>
    <row r="3" spans="1:12" ht="13">
      <c r="A3" s="111" t="s">
        <v>75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</row>
    <row r="4" spans="1:12">
      <c r="A4" s="110" t="s">
        <v>112</v>
      </c>
      <c r="B4" s="109"/>
      <c r="C4" s="109"/>
      <c r="D4" s="109"/>
      <c r="E4" s="109"/>
      <c r="F4" s="109"/>
      <c r="G4" s="109"/>
      <c r="H4" s="109"/>
      <c r="I4" s="109"/>
      <c r="J4" s="109"/>
      <c r="K4" s="109"/>
      <c r="L4" s="109"/>
    </row>
    <row r="5" spans="1:12">
      <c r="A5" s="110" t="s">
        <v>113</v>
      </c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</row>
    <row r="6" spans="1:12">
      <c r="A6" s="110" t="s">
        <v>114</v>
      </c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</row>
    <row r="7" spans="1:12">
      <c r="A7" s="110" t="s">
        <v>76</v>
      </c>
      <c r="B7" s="109"/>
      <c r="C7" s="109"/>
      <c r="D7" s="109"/>
      <c r="E7" s="109"/>
      <c r="F7" s="109"/>
      <c r="G7" s="109"/>
      <c r="H7" s="109"/>
      <c r="I7" s="109"/>
      <c r="J7" s="109"/>
      <c r="K7" s="109"/>
      <c r="L7" s="109"/>
    </row>
    <row r="8" spans="1:12">
      <c r="A8" s="110" t="s">
        <v>77</v>
      </c>
      <c r="B8" s="109"/>
      <c r="C8" s="109"/>
      <c r="D8" s="109"/>
      <c r="E8" s="109"/>
      <c r="F8" s="109"/>
      <c r="G8" s="109"/>
      <c r="H8" s="109"/>
      <c r="I8" s="109"/>
      <c r="J8" s="109"/>
      <c r="K8" s="109"/>
      <c r="L8" s="109"/>
    </row>
    <row r="9" spans="1:12">
      <c r="A9" s="110" t="s">
        <v>78</v>
      </c>
      <c r="B9" s="109"/>
      <c r="C9" s="109"/>
      <c r="D9" s="109"/>
      <c r="E9" s="109"/>
      <c r="F9" s="109"/>
      <c r="G9" s="109"/>
      <c r="H9" s="109"/>
      <c r="I9" s="109"/>
      <c r="J9" s="109"/>
      <c r="K9" s="109"/>
      <c r="L9" s="109"/>
    </row>
    <row r="10" spans="1:12">
      <c r="A10" s="110" t="s">
        <v>115</v>
      </c>
      <c r="B10" s="109"/>
      <c r="C10" s="109"/>
      <c r="D10" s="109"/>
      <c r="E10" s="109"/>
      <c r="F10" s="109"/>
      <c r="G10" s="109"/>
      <c r="H10" s="109"/>
      <c r="I10" s="109"/>
      <c r="J10" s="109"/>
      <c r="K10" s="109"/>
      <c r="L10" s="109"/>
    </row>
    <row r="11" spans="1:12">
      <c r="A11" s="110" t="s">
        <v>79</v>
      </c>
      <c r="B11" s="109"/>
      <c r="C11" s="109"/>
      <c r="D11" s="109"/>
      <c r="E11" s="109"/>
      <c r="F11" s="109"/>
      <c r="G11" s="109"/>
      <c r="H11" s="109"/>
      <c r="I11" s="109"/>
      <c r="J11" s="109"/>
      <c r="K11" s="109"/>
      <c r="L11" s="109"/>
    </row>
    <row r="12" spans="1:12">
      <c r="A12" s="110" t="s">
        <v>116</v>
      </c>
      <c r="B12" s="109"/>
      <c r="C12" s="109"/>
      <c r="D12" s="109"/>
      <c r="E12" s="109"/>
      <c r="F12" s="109"/>
      <c r="G12" s="109"/>
      <c r="H12" s="109"/>
      <c r="I12" s="109"/>
      <c r="J12" s="109"/>
      <c r="K12" s="109"/>
      <c r="L12" s="109"/>
    </row>
    <row r="13" spans="1:12">
      <c r="A13" s="110" t="s">
        <v>117</v>
      </c>
      <c r="B13" s="109"/>
      <c r="C13" s="109"/>
      <c r="D13" s="109"/>
      <c r="E13" s="109"/>
      <c r="F13" s="109"/>
      <c r="G13" s="109"/>
      <c r="H13" s="109"/>
      <c r="I13" s="109"/>
      <c r="J13" s="109"/>
      <c r="K13" s="109"/>
      <c r="L13" s="109"/>
    </row>
    <row r="14" spans="1:12">
      <c r="A14" s="110" t="s">
        <v>118</v>
      </c>
      <c r="B14" s="109"/>
      <c r="C14" s="109"/>
      <c r="D14" s="109"/>
      <c r="E14" s="109"/>
      <c r="F14" s="109"/>
      <c r="G14" s="109"/>
      <c r="H14" s="109"/>
      <c r="I14" s="109"/>
      <c r="J14" s="109"/>
      <c r="K14" s="109"/>
      <c r="L14" s="109"/>
    </row>
    <row r="15" spans="1:12">
      <c r="A15" s="110" t="s">
        <v>119</v>
      </c>
      <c r="B15" s="109"/>
      <c r="C15" s="109"/>
      <c r="D15" s="109"/>
      <c r="E15" s="109"/>
      <c r="F15" s="109"/>
      <c r="G15" s="109"/>
      <c r="H15" s="109"/>
      <c r="I15" s="109"/>
      <c r="J15" s="109"/>
      <c r="K15" s="109"/>
      <c r="L15" s="109"/>
    </row>
    <row r="16" spans="1:12">
      <c r="A16" s="110" t="s">
        <v>120</v>
      </c>
      <c r="B16" s="109"/>
      <c r="C16" s="109"/>
      <c r="D16" s="109"/>
      <c r="E16" s="109"/>
      <c r="F16" s="109"/>
      <c r="G16" s="109"/>
      <c r="H16" s="109"/>
      <c r="I16" s="109"/>
      <c r="J16" s="109"/>
      <c r="K16" s="109"/>
      <c r="L16" s="109"/>
    </row>
    <row r="19" spans="1:22" ht="13">
      <c r="A19" s="101" t="s">
        <v>80</v>
      </c>
      <c r="B19" s="101" t="s">
        <v>81</v>
      </c>
      <c r="C19" s="101" t="s">
        <v>82</v>
      </c>
      <c r="D19" s="101" t="s">
        <v>83</v>
      </c>
      <c r="E19" s="101" t="s">
        <v>84</v>
      </c>
      <c r="F19" s="101" t="s">
        <v>85</v>
      </c>
      <c r="G19" s="101" t="s">
        <v>86</v>
      </c>
      <c r="H19" s="101" t="s">
        <v>87</v>
      </c>
      <c r="I19" s="101" t="s">
        <v>74</v>
      </c>
      <c r="J19" s="101" t="s">
        <v>88</v>
      </c>
      <c r="K19" s="101" t="s">
        <v>89</v>
      </c>
      <c r="L19" s="101" t="s">
        <v>29</v>
      </c>
      <c r="M19" s="101" t="s">
        <v>34</v>
      </c>
      <c r="N19" s="101" t="s">
        <v>90</v>
      </c>
      <c r="O19" s="101" t="s">
        <v>91</v>
      </c>
      <c r="P19" s="101" t="s">
        <v>92</v>
      </c>
      <c r="Q19" s="101" t="s">
        <v>93</v>
      </c>
      <c r="R19" s="101" t="s">
        <v>94</v>
      </c>
      <c r="S19" s="101" t="s">
        <v>95</v>
      </c>
      <c r="T19" s="101" t="s">
        <v>96</v>
      </c>
      <c r="U19" s="101" t="s">
        <v>97</v>
      </c>
      <c r="V19" s="101" t="s">
        <v>98</v>
      </c>
    </row>
    <row r="20" spans="1:22">
      <c r="A20" s="102" t="s">
        <v>69</v>
      </c>
      <c r="B20" s="102" t="s">
        <v>99</v>
      </c>
      <c r="C20" s="102" t="s">
        <v>100</v>
      </c>
      <c r="D20" s="103">
        <v>973</v>
      </c>
      <c r="E20" s="103">
        <v>101325</v>
      </c>
      <c r="F20" s="104">
        <v>0.01</v>
      </c>
      <c r="G20" s="104">
        <v>0.5</v>
      </c>
      <c r="H20" s="104">
        <v>0.5</v>
      </c>
      <c r="I20" s="104">
        <v>2.0524535567187541</v>
      </c>
      <c r="J20" s="104">
        <v>2</v>
      </c>
      <c r="K20" s="104">
        <v>5.2453556718753618E-2</v>
      </c>
      <c r="L20" s="104">
        <v>3.5466593999999999E-3</v>
      </c>
      <c r="M20" s="104">
        <v>7.2793537000000004E-3</v>
      </c>
      <c r="N20" s="104">
        <v>2.4953959E-3</v>
      </c>
      <c r="O20" s="104">
        <v>4.3617431E-3</v>
      </c>
      <c r="P20" s="104">
        <v>97.747500000000002</v>
      </c>
      <c r="Q20" s="104">
        <v>60.4206</v>
      </c>
      <c r="R20" s="104"/>
      <c r="S20" s="104">
        <v>2.3560500000000001E-6</v>
      </c>
      <c r="T20" s="104">
        <v>3.0210299999999999E-6</v>
      </c>
      <c r="U20" s="104">
        <v>2.5313199999999999E-6</v>
      </c>
      <c r="V20" s="104"/>
    </row>
    <row r="21" spans="1:22">
      <c r="A21" s="102" t="s">
        <v>70</v>
      </c>
      <c r="B21" s="102" t="s">
        <v>101</v>
      </c>
      <c r="C21" s="102" t="s">
        <v>102</v>
      </c>
      <c r="D21" s="103">
        <v>998</v>
      </c>
      <c r="E21" s="103">
        <v>101325</v>
      </c>
      <c r="F21" s="104">
        <v>0.01</v>
      </c>
      <c r="G21" s="104">
        <v>0.5</v>
      </c>
      <c r="H21" s="104">
        <v>0.5</v>
      </c>
      <c r="I21" s="104">
        <v>1.851934649519887</v>
      </c>
      <c r="J21" s="104">
        <v>1.9</v>
      </c>
      <c r="K21" s="104">
        <v>4.80653504801134E-2</v>
      </c>
      <c r="L21" s="104">
        <v>4.0715049E-3</v>
      </c>
      <c r="M21" s="104">
        <v>7.5401610000000001E-3</v>
      </c>
      <c r="N21" s="104">
        <v>2.3069445000000002E-3</v>
      </c>
      <c r="O21" s="104">
        <v>4.0412725999999996E-3</v>
      </c>
      <c r="P21" s="104">
        <v>98.471100000000007</v>
      </c>
      <c r="Q21" s="104">
        <v>63.784500000000001</v>
      </c>
      <c r="R21" s="104"/>
      <c r="S21" s="104">
        <v>2.40789E-6</v>
      </c>
      <c r="T21" s="104">
        <v>3.18922E-6</v>
      </c>
      <c r="U21" s="104">
        <v>2.5156600000000001E-6</v>
      </c>
      <c r="V21" s="104"/>
    </row>
    <row r="22" spans="1:22">
      <c r="A22" s="102" t="s">
        <v>71</v>
      </c>
      <c r="B22" s="102" t="s">
        <v>103</v>
      </c>
      <c r="C22" s="102" t="s">
        <v>104</v>
      </c>
      <c r="D22" s="103">
        <v>1023</v>
      </c>
      <c r="E22" s="103">
        <v>101325</v>
      </c>
      <c r="F22" s="104">
        <v>0.01</v>
      </c>
      <c r="G22" s="104">
        <v>0.52500000000000002</v>
      </c>
      <c r="H22" s="104">
        <v>0.47499999999999998</v>
      </c>
      <c r="I22" s="104">
        <v>1.8585897924584269</v>
      </c>
      <c r="J22" s="104">
        <v>1.9</v>
      </c>
      <c r="K22" s="104">
        <v>4.1410207541572541E-2</v>
      </c>
      <c r="L22" s="104">
        <v>4.4577864000000002E-3</v>
      </c>
      <c r="M22" s="104">
        <v>8.2851963000000004E-3</v>
      </c>
      <c r="N22" s="104">
        <v>2.0968351000000001E-3</v>
      </c>
      <c r="O22" s="104">
        <v>4.0105401000000004E-3</v>
      </c>
      <c r="P22" s="104">
        <v>98.876499999999993</v>
      </c>
      <c r="Q22" s="104">
        <v>68.995999999999995</v>
      </c>
      <c r="R22" s="104"/>
      <c r="S22" s="104">
        <v>2.5570400000000001E-6</v>
      </c>
      <c r="T22" s="104">
        <v>3.2773099999999998E-6</v>
      </c>
      <c r="U22" s="104">
        <v>2.6339700000000001E-6</v>
      </c>
      <c r="V22" s="104"/>
    </row>
    <row r="23" spans="1:22">
      <c r="A23" s="102" t="s">
        <v>72</v>
      </c>
      <c r="B23" s="102" t="s">
        <v>105</v>
      </c>
      <c r="C23" s="102" t="s">
        <v>106</v>
      </c>
      <c r="D23" s="103">
        <v>1048</v>
      </c>
      <c r="E23" s="103">
        <v>101325</v>
      </c>
      <c r="F23" s="104">
        <v>0.01</v>
      </c>
      <c r="G23" s="104">
        <v>0.55000000000000004</v>
      </c>
      <c r="H23" s="104">
        <v>0.45</v>
      </c>
      <c r="I23" s="104">
        <v>1.880551193539135</v>
      </c>
      <c r="J23" s="104">
        <v>1.9</v>
      </c>
      <c r="K23" s="104">
        <v>1.9448806460864439E-2</v>
      </c>
      <c r="L23" s="104">
        <v>4.8117400000000001E-3</v>
      </c>
      <c r="M23" s="104">
        <v>9.0487234E-3</v>
      </c>
      <c r="N23" s="104">
        <v>1.8588910999999999E-3</v>
      </c>
      <c r="O23" s="104">
        <v>3.9773828000000001E-3</v>
      </c>
      <c r="P23" s="104">
        <v>99.1601</v>
      </c>
      <c r="Q23" s="104">
        <v>74.118099999999998</v>
      </c>
      <c r="R23" s="104"/>
      <c r="S23" s="104">
        <v>2.6995900000000001E-6</v>
      </c>
      <c r="T23" s="104">
        <v>3.3353200000000002E-6</v>
      </c>
      <c r="U23" s="104">
        <v>2.7542199999999999E-6</v>
      </c>
      <c r="V23" s="104"/>
    </row>
    <row r="24" spans="1:22">
      <c r="A24" s="102" t="s">
        <v>73</v>
      </c>
      <c r="B24" s="102" t="s">
        <v>107</v>
      </c>
      <c r="C24" s="102" t="s">
        <v>108</v>
      </c>
      <c r="D24" s="103">
        <v>1098</v>
      </c>
      <c r="E24" s="103">
        <v>101325</v>
      </c>
      <c r="F24" s="104">
        <v>0.01</v>
      </c>
      <c r="G24" s="104">
        <v>0.57499999999999996</v>
      </c>
      <c r="H24" s="104">
        <v>0.42499999999999999</v>
      </c>
      <c r="I24" s="104">
        <v>1.802181755912512</v>
      </c>
      <c r="J24" s="104">
        <v>1.8</v>
      </c>
      <c r="K24" s="104">
        <v>2.1817559125121289E-3</v>
      </c>
      <c r="L24" s="104">
        <v>5.5711090000000003E-3</v>
      </c>
      <c r="M24" s="104">
        <v>1.0040151000000001E-2</v>
      </c>
      <c r="N24" s="104">
        <v>1.4079551E-3</v>
      </c>
      <c r="O24" s="104">
        <v>3.6424762E-3</v>
      </c>
      <c r="P24" s="104">
        <v>99.548699999999997</v>
      </c>
      <c r="Q24" s="104">
        <v>82.1066</v>
      </c>
      <c r="R24" s="104"/>
      <c r="S24" s="104">
        <v>2.8507699999999999E-6</v>
      </c>
      <c r="T24" s="104">
        <v>3.4895300000000002E-6</v>
      </c>
      <c r="U24" s="104">
        <v>2.87328E-6</v>
      </c>
      <c r="V24" s="104"/>
    </row>
    <row r="25" spans="1:22">
      <c r="A25" s="102" t="s">
        <v>65</v>
      </c>
      <c r="B25" s="102" t="s">
        <v>109</v>
      </c>
      <c r="C25" s="102" t="s">
        <v>110</v>
      </c>
      <c r="D25" s="103">
        <v>1123</v>
      </c>
      <c r="E25" s="103">
        <v>101325</v>
      </c>
      <c r="F25" s="104">
        <v>0.01</v>
      </c>
      <c r="G25" s="104">
        <v>0.6</v>
      </c>
      <c r="H25" s="104">
        <v>0.4</v>
      </c>
      <c r="I25" s="104">
        <v>1.8852262248364211</v>
      </c>
      <c r="J25" s="104">
        <v>1.9</v>
      </c>
      <c r="K25" s="104">
        <v>1.477377516357903E-2</v>
      </c>
      <c r="L25" s="104">
        <v>5.7215579000000003E-3</v>
      </c>
      <c r="M25" s="104">
        <v>1.0786431000000001E-2</v>
      </c>
      <c r="N25" s="104">
        <v>1.1717056000000001E-3</v>
      </c>
      <c r="O25" s="104">
        <v>3.7041420000000001E-3</v>
      </c>
      <c r="P25" s="104">
        <v>99.6511</v>
      </c>
      <c r="Q25" s="104">
        <v>86.165800000000004</v>
      </c>
      <c r="R25" s="104"/>
      <c r="S25" s="104">
        <v>2.9830399999999999E-6</v>
      </c>
      <c r="T25" s="104">
        <v>3.4466300000000002E-6</v>
      </c>
      <c r="U25" s="104">
        <v>2.9960300000000002E-6</v>
      </c>
      <c r="V25" s="104"/>
    </row>
    <row r="26" spans="1:22">
      <c r="A26" s="105" t="s">
        <v>121</v>
      </c>
      <c r="B26" s="105" t="s">
        <v>122</v>
      </c>
      <c r="C26" s="105" t="s">
        <v>123</v>
      </c>
      <c r="D26" s="106">
        <v>1073</v>
      </c>
      <c r="E26" s="106">
        <v>101325</v>
      </c>
      <c r="F26" s="107">
        <v>0.01</v>
      </c>
      <c r="G26" s="107">
        <v>0.6</v>
      </c>
      <c r="H26" s="107">
        <v>0.4</v>
      </c>
      <c r="I26" s="107">
        <v>2.1171853770357472</v>
      </c>
      <c r="J26" s="107">
        <v>2.1</v>
      </c>
      <c r="K26" s="107">
        <v>1.718537703574707E-2</v>
      </c>
      <c r="L26" s="107">
        <v>4.9006507000000001E-3</v>
      </c>
      <c r="M26" s="107">
        <v>1.0375585999999999E-2</v>
      </c>
      <c r="N26" s="107">
        <v>1.5423368999999999E-3</v>
      </c>
      <c r="O26" s="107">
        <v>4.2798042999999996E-3</v>
      </c>
      <c r="P26" s="107">
        <v>99.316000000000003</v>
      </c>
      <c r="Q26" s="107">
        <v>80.537300000000002</v>
      </c>
      <c r="R26" s="107"/>
      <c r="S26" s="107">
        <v>2.95871E-6</v>
      </c>
      <c r="T26" s="107">
        <v>3.2214900000000001E-6</v>
      </c>
      <c r="U26" s="107">
        <v>3.0002500000000002E-6</v>
      </c>
      <c r="V26" s="107"/>
    </row>
    <row r="29" spans="1:22">
      <c r="A29" s="112" t="s">
        <v>124</v>
      </c>
      <c r="B29" s="109"/>
      <c r="C29" s="109"/>
      <c r="D29" s="109"/>
      <c r="E29" s="109"/>
      <c r="F29" s="109"/>
      <c r="G29" s="109"/>
      <c r="H29" s="109"/>
      <c r="I29" s="109"/>
      <c r="J29" s="109"/>
      <c r="K29" s="109"/>
      <c r="L29" s="109"/>
    </row>
  </sheetData>
  <mergeCells count="16">
    <mergeCell ref="A16:L16"/>
    <mergeCell ref="A15:L15"/>
    <mergeCell ref="A7:L7"/>
    <mergeCell ref="A10:L10"/>
    <mergeCell ref="A29:L29"/>
    <mergeCell ref="A11:L11"/>
    <mergeCell ref="A1:L1"/>
    <mergeCell ref="A5:L5"/>
    <mergeCell ref="A13:L13"/>
    <mergeCell ref="A8:L8"/>
    <mergeCell ref="A14:L14"/>
    <mergeCell ref="A6:L6"/>
    <mergeCell ref="A9:L9"/>
    <mergeCell ref="A3:L3"/>
    <mergeCell ref="A12:L12"/>
    <mergeCell ref="A4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8</vt:i4>
      </vt:variant>
      <vt:variant>
        <vt:lpstr>Intervalos Nomeados</vt:lpstr>
      </vt:variant>
      <vt:variant>
        <vt:i4>2</vt:i4>
      </vt:variant>
    </vt:vector>
  </HeadingPairs>
  <TitlesOfParts>
    <vt:vector size="10" baseType="lpstr">
      <vt:lpstr>TEMPERATURA (14)</vt:lpstr>
      <vt:lpstr>101325 Pa (28)</vt:lpstr>
      <vt:lpstr>506625 Pa (22)</vt:lpstr>
      <vt:lpstr>1013250 Pa (21)</vt:lpstr>
      <vt:lpstr>1519875 Pa (21)</vt:lpstr>
      <vt:lpstr>101325 Pa EXP (49)</vt:lpstr>
      <vt:lpstr>101325 Pa EXP Para acopla (12)</vt:lpstr>
      <vt:lpstr>SETE ESCOLHIDOS</vt:lpstr>
      <vt:lpstr>'1519875 Pa (21)'!Area_de_impressao</vt:lpstr>
      <vt:lpstr>'TEMPERATURA (14)'!Area_de_impressao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Denys Haluli</cp:lastModifiedBy>
  <cp:revision>171</cp:revision>
  <cp:lastPrinted>2026-04-09T02:38:11Z</cp:lastPrinted>
  <dcterms:created xsi:type="dcterms:W3CDTF">2026-02-12T01:08:57Z</dcterms:created>
  <dcterms:modified xsi:type="dcterms:W3CDTF">2026-05-18T03:31:35Z</dcterms:modified>
  <dc:language>pt-BR</dc:language>
</cp:coreProperties>
</file>